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empe\Documents\GitHub\new\PVDegradationTools\pvdeg\data\"/>
    </mc:Choice>
  </mc:AlternateContent>
  <xr:revisionPtr revIDLastSave="0" documentId="13_ncr:1_{5C2F140A-54BD-4E22-9E97-49C581F05A76}" xr6:coauthVersionLast="47" xr6:coauthVersionMax="47" xr10:uidLastSave="{00000000-0000-0000-0000-000000000000}"/>
  <bookViews>
    <workbookView xWindow="72" yWindow="0" windowWidth="9516" windowHeight="12336" activeTab="6" xr2:uid="{6337802C-0D6D-4E86-AF53-D2583E7C3143}"/>
  </bookViews>
  <sheets>
    <sheet name="Degradation Data" sheetId="1" r:id="rId1"/>
    <sheet name="Stressor Parameters" sheetId="2" r:id="rId2"/>
    <sheet name="Modeling Constants" sheetId="5" r:id="rId3"/>
    <sheet name="Function list" sheetId="3" r:id="rId4"/>
    <sheet name="Universal Constants" sheetId="7" r:id="rId5"/>
    <sheet name="Other Information" sheetId="6" r:id="rId6"/>
    <sheet name="Water" sheetId="9" r:id="rId7"/>
    <sheet name="Oxygen" sheetId="10" r:id="rId8"/>
  </sheets>
  <functionGroups builtInGroupCount="19"/>
  <externalReferences>
    <externalReference r:id="rId9"/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9" l="1"/>
  <c r="B56" i="9"/>
  <c r="I11" i="10"/>
  <c r="H11" i="10"/>
  <c r="G11" i="10"/>
  <c r="F11" i="10"/>
  <c r="E11" i="10"/>
  <c r="D11" i="10"/>
  <c r="I10" i="10"/>
  <c r="H10" i="10"/>
  <c r="G10" i="10"/>
  <c r="F10" i="10"/>
  <c r="E10" i="10"/>
  <c r="D10" i="10"/>
  <c r="I9" i="10"/>
  <c r="H9" i="10"/>
  <c r="G9" i="10"/>
  <c r="F9" i="10"/>
  <c r="E9" i="10"/>
  <c r="D9" i="10"/>
  <c r="I8" i="10"/>
  <c r="H8" i="10"/>
  <c r="G8" i="10"/>
  <c r="F8" i="10"/>
  <c r="E8" i="10"/>
  <c r="D8" i="10"/>
  <c r="I7" i="10"/>
  <c r="H7" i="10"/>
  <c r="G7" i="10"/>
  <c r="F7" i="10"/>
  <c r="E7" i="10"/>
  <c r="D7" i="10"/>
  <c r="I6" i="10"/>
  <c r="H6" i="10"/>
  <c r="G6" i="10"/>
  <c r="F6" i="10"/>
  <c r="E6" i="10"/>
  <c r="D6" i="10"/>
  <c r="I5" i="10"/>
  <c r="H5" i="10"/>
  <c r="G5" i="10"/>
  <c r="F5" i="10"/>
  <c r="E5" i="10"/>
  <c r="D5" i="10"/>
  <c r="I42" i="9"/>
  <c r="H42" i="9"/>
  <c r="H41" i="9"/>
  <c r="G41" i="9"/>
  <c r="I41" i="9" s="1"/>
  <c r="E40" i="9"/>
  <c r="D40" i="9"/>
  <c r="B83" i="9" s="1"/>
  <c r="I39" i="9"/>
  <c r="H39" i="9"/>
  <c r="G39" i="9"/>
  <c r="F39" i="9"/>
  <c r="E39" i="9"/>
  <c r="D39" i="9"/>
  <c r="I38" i="9"/>
  <c r="H38" i="9"/>
  <c r="G38" i="9"/>
  <c r="F38" i="9"/>
  <c r="E38" i="9"/>
  <c r="D38" i="9"/>
  <c r="I37" i="9"/>
  <c r="H37" i="9"/>
  <c r="G37" i="9"/>
  <c r="F37" i="9"/>
  <c r="E37" i="9"/>
  <c r="D37" i="9"/>
  <c r="I36" i="9"/>
  <c r="H36" i="9"/>
  <c r="G36" i="9"/>
  <c r="F36" i="9"/>
  <c r="E36" i="9"/>
  <c r="D36" i="9"/>
  <c r="B79" i="9" s="1"/>
  <c r="I35" i="9"/>
  <c r="H35" i="9"/>
  <c r="G35" i="9"/>
  <c r="F35" i="9"/>
  <c r="E35" i="9"/>
  <c r="D35" i="9"/>
  <c r="I34" i="9"/>
  <c r="H34" i="9"/>
  <c r="G34" i="9"/>
  <c r="F34" i="9"/>
  <c r="E34" i="9"/>
  <c r="D34" i="9"/>
  <c r="I33" i="9"/>
  <c r="H33" i="9"/>
  <c r="G33" i="9"/>
  <c r="F33" i="9"/>
  <c r="E33" i="9"/>
  <c r="D33" i="9"/>
  <c r="I32" i="9"/>
  <c r="H32" i="9"/>
  <c r="G32" i="9"/>
  <c r="F32" i="9"/>
  <c r="E32" i="9"/>
  <c r="D32" i="9"/>
  <c r="B75" i="9" s="1"/>
  <c r="I31" i="9"/>
  <c r="H31" i="9"/>
  <c r="G31" i="9"/>
  <c r="F31" i="9"/>
  <c r="E31" i="9"/>
  <c r="D31" i="9"/>
  <c r="I30" i="9"/>
  <c r="H30" i="9"/>
  <c r="G30" i="9"/>
  <c r="F30" i="9"/>
  <c r="E30" i="9"/>
  <c r="D30" i="9"/>
  <c r="I29" i="9"/>
  <c r="H29" i="9"/>
  <c r="G29" i="9"/>
  <c r="F29" i="9"/>
  <c r="E29" i="9"/>
  <c r="D29" i="9"/>
  <c r="I28" i="9"/>
  <c r="H28" i="9"/>
  <c r="G28" i="9"/>
  <c r="F28" i="9"/>
  <c r="E28" i="9"/>
  <c r="D28" i="9"/>
  <c r="B71" i="9" s="1"/>
  <c r="I27" i="9"/>
  <c r="H27" i="9"/>
  <c r="G27" i="9"/>
  <c r="F27" i="9"/>
  <c r="E27" i="9"/>
  <c r="D27" i="9"/>
  <c r="I26" i="9"/>
  <c r="H26" i="9"/>
  <c r="G26" i="9"/>
  <c r="F26" i="9"/>
  <c r="E26" i="9"/>
  <c r="D26" i="9"/>
  <c r="I25" i="9"/>
  <c r="H25" i="9"/>
  <c r="G25" i="9"/>
  <c r="F25" i="9"/>
  <c r="E25" i="9"/>
  <c r="D25" i="9"/>
  <c r="I24" i="9"/>
  <c r="H24" i="9"/>
  <c r="G24" i="9"/>
  <c r="F24" i="9"/>
  <c r="E24" i="9"/>
  <c r="D24" i="9"/>
  <c r="B67" i="9" s="1"/>
  <c r="I23" i="9"/>
  <c r="H23" i="9"/>
  <c r="I22" i="9"/>
  <c r="H22" i="9"/>
  <c r="G22" i="9"/>
  <c r="F22" i="9"/>
  <c r="E22" i="9"/>
  <c r="D22" i="9"/>
  <c r="I21" i="9"/>
  <c r="H21" i="9"/>
  <c r="G21" i="9"/>
  <c r="F21" i="9"/>
  <c r="E21" i="9"/>
  <c r="D21" i="9"/>
  <c r="B64" i="9" s="1"/>
  <c r="I20" i="9"/>
  <c r="H20" i="9"/>
  <c r="G20" i="9"/>
  <c r="F20" i="9"/>
  <c r="E20" i="9"/>
  <c r="D20" i="9"/>
  <c r="I19" i="9"/>
  <c r="H19" i="9"/>
  <c r="G19" i="9"/>
  <c r="F19" i="9"/>
  <c r="E19" i="9"/>
  <c r="D19" i="9"/>
  <c r="I18" i="9"/>
  <c r="H18" i="9"/>
  <c r="G18" i="9"/>
  <c r="F18" i="9"/>
  <c r="E18" i="9"/>
  <c r="D18" i="9"/>
  <c r="B61" i="9" s="1"/>
  <c r="I17" i="9"/>
  <c r="H17" i="9"/>
  <c r="G17" i="9"/>
  <c r="F17" i="9"/>
  <c r="E17" i="9"/>
  <c r="D17" i="9"/>
  <c r="B60" i="9" s="1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I10" i="9"/>
  <c r="H10" i="9"/>
  <c r="G10" i="9"/>
  <c r="F10" i="9"/>
  <c r="E10" i="9"/>
  <c r="D10" i="9"/>
  <c r="B53" i="9" s="1"/>
  <c r="I9" i="9"/>
  <c r="H9" i="9"/>
  <c r="G9" i="9"/>
  <c r="F9" i="9"/>
  <c r="E9" i="9"/>
  <c r="D9" i="9"/>
  <c r="B52" i="9" s="1"/>
  <c r="I8" i="9"/>
  <c r="H8" i="9"/>
  <c r="B51" i="9" s="1"/>
  <c r="I7" i="9"/>
  <c r="H7" i="9"/>
  <c r="G7" i="9"/>
  <c r="F7" i="9"/>
  <c r="E7" i="9"/>
  <c r="D7" i="9"/>
  <c r="B50" i="9" s="1"/>
  <c r="I6" i="9"/>
  <c r="H6" i="9"/>
  <c r="G6" i="9"/>
  <c r="F6" i="9"/>
  <c r="E6" i="9"/>
  <c r="D6" i="9"/>
  <c r="I5" i="9"/>
  <c r="H5" i="9"/>
  <c r="G5" i="9"/>
  <c r="F5" i="9"/>
  <c r="B48" i="9" s="1"/>
  <c r="E5" i="9"/>
  <c r="D5" i="9"/>
  <c r="I4" i="9"/>
  <c r="H4" i="9"/>
  <c r="G4" i="9"/>
  <c r="F4" i="9"/>
  <c r="E4" i="9"/>
  <c r="D4" i="9"/>
  <c r="B47" i="9" s="1"/>
  <c r="B57" i="9" l="1"/>
  <c r="B65" i="9"/>
  <c r="B59" i="9"/>
  <c r="B63" i="9"/>
  <c r="B77" i="9"/>
  <c r="B81" i="9"/>
  <c r="B69" i="9"/>
  <c r="B55" i="9"/>
  <c r="B68" i="9"/>
  <c r="B76" i="9"/>
  <c r="B80" i="9"/>
  <c r="B49" i="9"/>
  <c r="B54" i="9"/>
  <c r="B58" i="9"/>
  <c r="B62" i="9"/>
  <c r="B66" i="9"/>
  <c r="B72" i="9"/>
  <c r="B73" i="9"/>
  <c r="B70" i="9"/>
  <c r="B74" i="9"/>
  <c r="B78" i="9"/>
  <c r="B82" i="9"/>
  <c r="B8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tc={570380BE-191F-4343-8FF5-ADB72866D7AB}</author>
    <author>Wall, Weston</author>
  </authors>
  <commentList>
    <comment ref="M23" authorId="0" shapeId="0" xr:uid="{570380BE-191F-4343-8FF5-ADB72866D7AB}">
      <text>
        <t>[Threaded comment]
Your version of Excel allows you to read this threaded comment; however, any edits to it will get removed if the file is opened in a newer version of Excel. Learn more: https://go.microsoft.com/fwlink/?linkid=870924
Comment:
    Pan's Model, Piecewise model, or use cited papers?</t>
      </text>
    </comment>
    <comment ref="L32" authorId="1" shapeId="0" xr:uid="{B24F423D-D163-49C3-8760-7570B4331E9A}">
      <text>
        <r>
          <rPr>
            <b/>
            <sz val="9"/>
            <color indexed="81"/>
            <rFont val="Tahoma"/>
            <family val="2"/>
          </rPr>
          <t>Wall, Weston:</t>
        </r>
        <r>
          <rPr>
            <sz val="9"/>
            <color indexed="81"/>
            <rFont val="Tahoma"/>
            <family val="2"/>
          </rPr>
          <t xml:space="preserve">
Is this valuable to us? I can't find a 'degradation rate' or anything of the sort, would we be looking at quantum yield?</t>
        </r>
      </text>
    </comment>
  </commentList>
</comments>
</file>

<file path=xl/sharedStrings.xml><?xml version="1.0" encoding="utf-8"?>
<sst xmlns="http://schemas.openxmlformats.org/spreadsheetml/2006/main" count="1138" uniqueCount="502">
  <si>
    <t>Person who entered the data</t>
  </si>
  <si>
    <t>DOI number</t>
  </si>
  <si>
    <t>Source title</t>
  </si>
  <si>
    <t>Authors</t>
  </si>
  <si>
    <t>Reference</t>
  </si>
  <si>
    <t>Equation type</t>
  </si>
  <si>
    <t>Parameter Values</t>
  </si>
  <si>
    <t>Parameter uncertainties</t>
  </si>
  <si>
    <t>Arrhenius</t>
  </si>
  <si>
    <t>Equation Text</t>
  </si>
  <si>
    <t>Parameter Names</t>
  </si>
  <si>
    <t>R_D</t>
  </si>
  <si>
    <t>Parameter Units</t>
  </si>
  <si>
    <t>%/h</t>
  </si>
  <si>
    <t>kJ/mol</t>
  </si>
  <si>
    <t>Other parameters in Json format</t>
  </si>
  <si>
    <t>Weston Wall</t>
  </si>
  <si>
    <t>Richard M. Fischer, Warren D. Ketola</t>
  </si>
  <si>
    <t>x</t>
  </si>
  <si>
    <t>b</t>
  </si>
  <si>
    <t>T_f</t>
  </si>
  <si>
    <t>m</t>
  </si>
  <si>
    <t>Input Variable</t>
  </si>
  <si>
    <t>T</t>
  </si>
  <si>
    <t>Temperature</t>
  </si>
  <si>
    <t>Kelvin</t>
  </si>
  <si>
    <t>Description</t>
  </si>
  <si>
    <t>Units</t>
  </si>
  <si>
    <t>G</t>
  </si>
  <si>
    <t>Irradiance</t>
  </si>
  <si>
    <t>W/m^2</t>
  </si>
  <si>
    <t>Vant_Hoff_TOW_Schwarzchild</t>
  </si>
  <si>
    <t>Celsius</t>
  </si>
  <si>
    <t>TOW</t>
  </si>
  <si>
    <t>Time of Wetness</t>
  </si>
  <si>
    <t>h/year</t>
  </si>
  <si>
    <t>10.1002/.pip1172</t>
  </si>
  <si>
    <t>Life Prediction for CIGS Solar Modules</t>
  </si>
  <si>
    <t>D.J. Coyle, H.A. Blaydes, R.S. Northey, J.E. Pickett, K.R. Nagarkar, R.A. Zhao, and J.O. Gardner</t>
  </si>
  <si>
    <t>Arrhenius_BET4</t>
  </si>
  <si>
    <t>CIGS_Efficiency, ITO_ECA0</t>
  </si>
  <si>
    <t>CIGS_Efficiency, ITO_ECA1</t>
  </si>
  <si>
    <t>CIGS_Efficiency, AZO</t>
  </si>
  <si>
    <r>
      <t xml:space="preserve">R. M. Fischer and W. D. Ketola, "Error Analyses and Associated Risk for Accelerated Weathering Results," </t>
    </r>
    <r>
      <rPr>
        <i/>
        <sz val="11"/>
        <color theme="1"/>
        <rFont val="Calibri"/>
        <family val="2"/>
        <scheme val="minor"/>
      </rPr>
      <t xml:space="preserve">Third International Service Life Symposium, Sedona, AZ February 2004, </t>
    </r>
    <r>
      <rPr>
        <sz val="11"/>
        <color theme="1"/>
        <rFont val="Calibri"/>
        <family val="2"/>
        <scheme val="minor"/>
      </rPr>
      <t>2004.</t>
    </r>
  </si>
  <si>
    <t>10.1002/.pip1173</t>
  </si>
  <si>
    <t>10.1002/.pip1174</t>
  </si>
  <si>
    <t>Arrhenius_BET5</t>
  </si>
  <si>
    <t>Arrhenius_BET6</t>
  </si>
  <si>
    <t>RH</t>
  </si>
  <si>
    <t>Relative Humidity</t>
  </si>
  <si>
    <t>%</t>
  </si>
  <si>
    <t>Michael Kempe</t>
  </si>
  <si>
    <t>Key words</t>
  </si>
  <si>
    <t>Drawn out  equation</t>
  </si>
  <si>
    <t>Full spectrum radiation</t>
  </si>
  <si>
    <t>G_UV</t>
  </si>
  <si>
    <t>UV Irradiance</t>
  </si>
  <si>
    <t>Between 300 nm and 400 nm.</t>
  </si>
  <si>
    <t>G_340</t>
  </si>
  <si>
    <t>W/m^2/nm</t>
  </si>
  <si>
    <t>Irradiance at 340 nm</t>
  </si>
  <si>
    <t>G_pyr</t>
  </si>
  <si>
    <t>Irradiance measured using a pyranometer for wavelengths greater than 285 to 415 nm?</t>
  </si>
  <si>
    <t>Degradation</t>
  </si>
  <si>
    <t>Jada Swailes</t>
  </si>
  <si>
    <t>Pickett  Coyle Hydrolysis Kinetics of condensation polymers under humidity aging conditions.pdf</t>
  </si>
  <si>
    <t>Highly Accelerated UV Stress Testing for Transparent Flexible Frontsheets</t>
  </si>
  <si>
    <t>Michael D Kempe, Peter Hacke, Joshua Morse, Michael Owen-Bellini, Derek Holsapple, Trevor Lockman, Samantha Hoang, David Okawa, Tamir Lance, Hoi Hong Ng</t>
  </si>
  <si>
    <t>Flexible Frontsheet, Frontsheet Coatings</t>
  </si>
  <si>
    <t>UV Cut On</t>
  </si>
  <si>
    <t>Arrhenius_RH_Irradiance</t>
  </si>
  <si>
    <t>n</t>
  </si>
  <si>
    <t>p</t>
  </si>
  <si>
    <t>UV Transmittance 310nm-350nm</t>
  </si>
  <si>
    <t>Yellowness index</t>
  </si>
  <si>
    <t>SPQEWT</t>
  </si>
  <si>
    <t>James E. Pickett, Dennis J. Coyle</t>
  </si>
  <si>
    <t>Comments</t>
  </si>
  <si>
    <t>R_0</t>
  </si>
  <si>
    <t>E_a</t>
  </si>
  <si>
    <t>Material</t>
  </si>
  <si>
    <t>Variable</t>
  </si>
  <si>
    <t>Definition</t>
  </si>
  <si>
    <t xml:space="preserve">Frequency factor, prefactor, </t>
  </si>
  <si>
    <t>Rate of degradation</t>
  </si>
  <si>
    <t>Activation Energy</t>
  </si>
  <si>
    <t>Paints and Coatings</t>
  </si>
  <si>
    <t>CIGS</t>
  </si>
  <si>
    <r>
      <t xml:space="preserve">Kempe, M. D., et al. (2020). </t>
    </r>
    <r>
      <rPr>
        <u/>
        <sz val="11"/>
        <color theme="1"/>
        <rFont val="Calibri"/>
        <family val="2"/>
        <scheme val="minor"/>
      </rPr>
      <t>Highly Accelerated UV Stress Testing for Transparent Flexible Frontsheets</t>
    </r>
    <r>
      <rPr>
        <sz val="11"/>
        <color theme="1"/>
        <rFont val="Calibri"/>
        <family val="2"/>
        <scheme val="minor"/>
      </rPr>
      <t>. 2020 47th IEEE Photovoltaic Specialists Conference (PVSC).</t>
    </r>
  </si>
  <si>
    <t>10.1109/PVSC45281.2020.9300357</t>
  </si>
  <si>
    <t>Humidity, Irradiance</t>
  </si>
  <si>
    <t>Coyle, D. J., et al. (2011). "Life prediction for CIGS solar modules part 2: degradation kinetics, accelerated testing, and encapsulant effects." Progress in Photovoltaics: Research and Applications.</t>
  </si>
  <si>
    <t>Temperature, humidity, CIGS, Moisture ingress, thin film</t>
  </si>
  <si>
    <t>Gloss, color shift, cracking, gloss loss, fluorescence loss, retroreflectance loss, adhesive transfer (clean removal), shrinkage, yellowing</t>
  </si>
  <si>
    <t>Water-Accelerated Photo-oxidation of CH3NH3PbI3 Perovskite: Mechanism, rate orders, and rate constants</t>
  </si>
  <si>
    <t>Timothy D. Siegler, Wiley A. Dunlap-Shohl, Yuhuan Meng, Wylie F. Kau, Preetham P. Sunkari, Chang En Tsai, Zachary J. Armstrong, Yu-chia Chen, David A. C. Beck, Marina Meila, Hugh W. Hillhouse</t>
  </si>
  <si>
    <t>Halide Perovskite (MAPbI3)</t>
  </si>
  <si>
    <t>Optical Transmittance In-Situ measurement</t>
  </si>
  <si>
    <t>A</t>
  </si>
  <si>
    <t>days</t>
  </si>
  <si>
    <t>PC</t>
  </si>
  <si>
    <t>PET-A,B,C</t>
  </si>
  <si>
    <t>PET-D</t>
  </si>
  <si>
    <t>RPA-A</t>
  </si>
  <si>
    <t>RPA-B,C</t>
  </si>
  <si>
    <t>Hydrolysis</t>
  </si>
  <si>
    <t>Arrhenius_tfail_RH</t>
  </si>
  <si>
    <t>t_fail</t>
  </si>
  <si>
    <t>embrittlement time</t>
  </si>
  <si>
    <t>prefactor</t>
  </si>
  <si>
    <t>Sympi</t>
  </si>
  <si>
    <t>https://www.sympy.org/en/features.html</t>
  </si>
  <si>
    <t>Humidity, Irradiance,</t>
  </si>
  <si>
    <t>ln(A)</t>
  </si>
  <si>
    <t>Date Entered</t>
  </si>
  <si>
    <t>data from Table 5</t>
  </si>
  <si>
    <t>Humidity, Hydrothermal, Polyester, Polyarylate, Aryl Ester, Aromatic Polyester, Resorcinol Polyarylate, Hydrolysis</t>
  </si>
  <si>
    <t>Humidity, Hydrothermal, Polyester, Polycarbonate, Polyarylate, Aryl Ester, Aromatic Polyester, Hydrolysis</t>
  </si>
  <si>
    <t>Humidity, Hydrothermal, Polyester, PET ,Polyarylate, Aryl Ester, Aromatic Polyester, Hydrolysis, Poly(ethylene terephthalate)</t>
  </si>
  <si>
    <t>Humidity, Hydrothermal, Polyester, PET, Polyarylate, Aryl Ester, Aromatic Polyester, Hydrolysis, Poly(ethylene terephthalate)</t>
  </si>
  <si>
    <t>Photons*m^-2*s^-1</t>
  </si>
  <si>
    <t>10.1021/jacs.2c00391</t>
  </si>
  <si>
    <t>G_550</t>
  </si>
  <si>
    <t>Perovskite_1</t>
  </si>
  <si>
    <t>LED Light at 550nm</t>
  </si>
  <si>
    <t>R_0,WPO</t>
  </si>
  <si>
    <t>K_2W</t>
  </si>
  <si>
    <t>E_a,WPO</t>
  </si>
  <si>
    <t>K_3W</t>
  </si>
  <si>
    <t>R_0,DPO</t>
  </si>
  <si>
    <t>E_a,DPO</t>
  </si>
  <si>
    <t>K_2D</t>
  </si>
  <si>
    <t>K_3D</t>
  </si>
  <si>
    <t>R_0,hum</t>
  </si>
  <si>
    <t>E_a^hum</t>
  </si>
  <si>
    <t>E_a^therm</t>
  </si>
  <si>
    <t>10.1016/j.polymdegradstab.2013.04.001</t>
  </si>
  <si>
    <t>1/kPa</t>
  </si>
  <si>
    <t>R_0,therm</t>
  </si>
  <si>
    <t>Dry Photooxidation, Water Photooxidiation</t>
  </si>
  <si>
    <t>10.1002/pip.2908</t>
  </si>
  <si>
    <t>Evaluation and modeling of the potential effects of a module manufacturing anomaly</t>
  </si>
  <si>
    <t>Michael D Kempe, Dirk C Jordan</t>
  </si>
  <si>
    <t>multi-crystalline Silicon</t>
  </si>
  <si>
    <t>Fill Factor</t>
  </si>
  <si>
    <t>FF_Arrhenius</t>
  </si>
  <si>
    <t>1/%</t>
  </si>
  <si>
    <t>Kempe MD, Jordan DC. Evaluation and modeling of the potential effects of a module manufactur_x0002_ing anomaly. Prog Photovolt Res Appl. 2017. https://doi.org/ 10.1002/pip.2908</t>
  </si>
  <si>
    <t>FF</t>
  </si>
  <si>
    <t>Intial Fill Factor</t>
  </si>
  <si>
    <t>R</t>
  </si>
  <si>
    <t>Universal Gas Constant</t>
  </si>
  <si>
    <t>J/mol*K</t>
  </si>
  <si>
    <t>Degradation of metallization contact to the cell due to flux</t>
  </si>
  <si>
    <t>Damp Heat, Durability, Kinetics, Manufacturing Quality, Reliability, Solder Flux, Metallization contact resistance</t>
  </si>
  <si>
    <t>Degredation Mechanism or Mode</t>
  </si>
  <si>
    <t>B</t>
  </si>
  <si>
    <t>Beta</t>
  </si>
  <si>
    <t>E</t>
  </si>
  <si>
    <t>Epsilon</t>
  </si>
  <si>
    <t>B_2</t>
  </si>
  <si>
    <t>B_3</t>
  </si>
  <si>
    <r>
      <t>B</t>
    </r>
    <r>
      <rPr>
        <sz val="8.35"/>
        <color theme="1"/>
        <rFont val="Calibri"/>
        <family val="2"/>
        <scheme val="minor"/>
      </rPr>
      <t>_1</t>
    </r>
  </si>
  <si>
    <t>PV CONNECTORS, BOTTLENECK OF 40 YEARS LIFETIME MODULES?</t>
  </si>
  <si>
    <t>Xuanji Yu , Ben Huang, Ruirui Lv, Jean-Nicolas Jaubert , Tao Xu, Guangchun Zhang</t>
  </si>
  <si>
    <t>10.1016/j.solmat.2011.02.013</t>
  </si>
  <si>
    <t>An Arrhenius approach to estimating organic photovoltaic module weathering acceleration factors</t>
  </si>
  <si>
    <t>Olivier Haillant, David Dumbleton, Allen Zielnik</t>
  </si>
  <si>
    <t>Connectors, Polymer sealing failure, metal pin corrosion, 40 year reliability</t>
  </si>
  <si>
    <t>Connectors</t>
  </si>
  <si>
    <t>Wet insulation resistance &lt; 400Mohm</t>
  </si>
  <si>
    <t>R_0,thermal</t>
  </si>
  <si>
    <t>E_a, thermal</t>
  </si>
  <si>
    <t>R_0, Hydrolysis</t>
  </si>
  <si>
    <t>E_a, Hydrolysis</t>
  </si>
  <si>
    <t>R_0, PhotoDegr</t>
  </si>
  <si>
    <t>E_a, PhotDegr</t>
  </si>
  <si>
    <t>Arrhenius_Connector</t>
  </si>
  <si>
    <t>Quantification of Environmental Effects on PV Module Degradation: A Physics-Based Data_x0002_Driven Modeling Method</t>
  </si>
  <si>
    <t>Arun Bala Subramaniyan, Rong Pan, Joseph Kuitche, GovindaSamy TamizhMani</t>
  </si>
  <si>
    <t>mono-Crystalline Silicon</t>
  </si>
  <si>
    <t>Overall power generated</t>
  </si>
  <si>
    <t>Failure modes of polyolefin encapsulated double glass modules and corresponding degradation modeling – Part 1 optical durability</t>
  </si>
  <si>
    <t>Ben X. J. Yu, Ruirui Lv, Jean-Nicolas Jaubert, Guoqiang Xing, Julien Dupuis, Eric Sandre, Christophe Dugué, Gilles Goaer</t>
  </si>
  <si>
    <t>Encapsulents, (POE, TPO, EVA)</t>
  </si>
  <si>
    <t>Bifacial, Encapsulants, Delamination, Yellowing, Sevice Life predication</t>
  </si>
  <si>
    <t>Outdoor, mono-crystalline Silicon, effeciency,  Cumulative effects model</t>
  </si>
  <si>
    <t>Arrhenius_Coffin_Manson_Peck</t>
  </si>
  <si>
    <t>%/year</t>
  </si>
  <si>
    <t>1/sec</t>
  </si>
  <si>
    <t>Uncertainties given using 95% confidence interval</t>
  </si>
  <si>
    <t>Acceleration Factor Modeling for Degradation Rate Prediction of Photovoltaic Encapsulant Discoloration</t>
  </si>
  <si>
    <t>Archana Sinha, Shantanu Pore, Arun Balasubramaniyan, GovindaSamy TamizhMani</t>
  </si>
  <si>
    <t>Acceleration Factor, Arrhenius, degradation rate, encapsulant discoloration, Lifetime prediction</t>
  </si>
  <si>
    <t>EVA Encapsulent, Si-cells</t>
  </si>
  <si>
    <t>Encapsulent Discoloration, Isc loss</t>
  </si>
  <si>
    <r>
      <rPr>
        <sz val="11"/>
        <color rgb="FF333333"/>
        <rFont val="Calibri"/>
        <family val="2"/>
        <scheme val="minor"/>
      </rPr>
      <t>A. Bala Subramaniyan, R. Pan, J. Kuitche and G. TamizhMani, "Quantification of Environmental Effects on PV Module Degradation: A Physics-Based Data-Driven Modeling Method," in </t>
    </r>
    <r>
      <rPr>
        <i/>
        <sz val="11"/>
        <color rgb="FF333333"/>
        <rFont val="Calibri"/>
        <family val="2"/>
        <scheme val="minor"/>
      </rPr>
      <t>IEEE Journal of Photovoltaics</t>
    </r>
    <r>
      <rPr>
        <sz val="11"/>
        <color rgb="FF333333"/>
        <rFont val="Calibri"/>
        <family val="2"/>
        <scheme val="minor"/>
      </rPr>
      <t>, vol. 8, no. 5, pp. 1289-1296, Sept. 2018, doi: 10.1109/JPHOTOV.2018.2850527.</t>
    </r>
  </si>
  <si>
    <r>
      <rPr>
        <sz val="11"/>
        <color rgb="FF333333"/>
        <rFont val="Calibri"/>
        <family val="2"/>
        <scheme val="minor"/>
      </rPr>
      <t>B. X. J. Yu </t>
    </r>
    <r>
      <rPr>
        <i/>
        <sz val="11"/>
        <color rgb="FF333333"/>
        <rFont val="Calibri"/>
        <family val="2"/>
        <scheme val="minor"/>
      </rPr>
      <t>et al</t>
    </r>
    <r>
      <rPr>
        <sz val="11"/>
        <color rgb="FF333333"/>
        <rFont val="Calibri"/>
        <family val="2"/>
        <scheme val="minor"/>
      </rPr>
      <t>., "Failure modes of polyolefin encapsulated double glass modules and corresponding degradation modeling — Part 1 optical durability," </t>
    </r>
    <r>
      <rPr>
        <i/>
        <sz val="11"/>
        <color rgb="FF333333"/>
        <rFont val="Calibri"/>
        <family val="2"/>
        <scheme val="minor"/>
      </rPr>
      <t>2020 47th IEEE Photovoltaic Specialists Conference (PVSC)</t>
    </r>
    <r>
      <rPr>
        <sz val="11"/>
        <color rgb="FF333333"/>
        <rFont val="Calibri"/>
        <family val="2"/>
        <scheme val="minor"/>
      </rPr>
      <t>, Calgary, AB, Canada, 2020, pp. 1002-1007, doi: 10.1109/PVSC45281.2020.9300638.</t>
    </r>
  </si>
  <si>
    <t>10.1109/PVSC.2018.8547944</t>
  </si>
  <si>
    <r>
      <rPr>
        <sz val="11"/>
        <color rgb="FF333333"/>
        <rFont val="Calibri"/>
        <family val="2"/>
        <scheme val="minor"/>
      </rPr>
      <t>A. Sinha, S. Pore, A. Balasubramaniyan and G. TamizhMani, "Acceleration Factor Modeling for Degradation Rate Prediction of Photovoltaic Encapsulant Discoloration," </t>
    </r>
    <r>
      <rPr>
        <i/>
        <sz val="11"/>
        <color rgb="FF333333"/>
        <rFont val="Calibri"/>
        <family val="2"/>
        <scheme val="minor"/>
      </rPr>
      <t>2018 IEEE 7th World Conference on Photovoltaic Energy Conversion (WCPEC) (A Joint Conference of 45th IEEE PVSC, 28th PVSEC &amp; 34th EU PVSEC)</t>
    </r>
    <r>
      <rPr>
        <sz val="11"/>
        <color rgb="FF333333"/>
        <rFont val="Calibri"/>
        <family val="2"/>
        <scheme val="minor"/>
      </rPr>
      <t>, Waikoloa, HI, USA, 2018, pp. 1342-1346, doi: 10.1109/PVSC.2018.8547944.</t>
    </r>
  </si>
  <si>
    <t>DataEntryPerson</t>
  </si>
  <si>
    <t>DateEntered</t>
  </si>
  <si>
    <t>DOI</t>
  </si>
  <si>
    <t>SourceTitle</t>
  </si>
  <si>
    <t>KeyWords</t>
  </si>
  <si>
    <t>EquationType</t>
  </si>
  <si>
    <t>Equation</t>
  </si>
  <si>
    <t>Error Analyses and Associated Risk for Accelerated Weathering Results/2009 Presentation</t>
  </si>
  <si>
    <t>Journal of the American Chemical Society 2022 144 (12), 5552-5561</t>
  </si>
  <si>
    <t>10.1109/PVSC45281.2020.9300638</t>
  </si>
  <si>
    <t>10.1109/JPHOTOV.2018.2850527</t>
  </si>
  <si>
    <t>Record Number</t>
  </si>
  <si>
    <t>10.1002/apmc.1994.052160108</t>
  </si>
  <si>
    <t>The kinetics and mechanism of polyethylene photo-oxidation</t>
  </si>
  <si>
    <t>J. J. C. Cruz-Pinto, M. E. S. Carvalho, J. F. A. Ferreira</t>
  </si>
  <si>
    <t xml:space="preserve">Cruz Pinto, José Joaquim &amp; Carvalho, M. &amp; Ferreira, J.. (2003). The kinetics and mechanism of polyethylene photo‐oxidation. Die Angewandte Makromolekulare Chemie. 216. 113 - 133. 10.1002/apmc.1994.052160108. </t>
  </si>
  <si>
    <t>Polyethylene, Photoxidation, Weathering, Mechanism, Kinetics</t>
  </si>
  <si>
    <t>Polyethylene</t>
  </si>
  <si>
    <t>Photoxidation</t>
  </si>
  <si>
    <t>Arrhenius_G_DeltaT</t>
  </si>
  <si>
    <t>Modified_Arrhenius_G</t>
  </si>
  <si>
    <t>%/hour</t>
  </si>
  <si>
    <t xml:space="preserve">
        "Corr-B_1-B_2": 0.985, 
        "Corr-B_1-B_3": 0.216, 
        "Corr-B_2-B_3": 0.0452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</si>
  <si>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</si>
  <si>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</si>
  <si>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</si>
  <si>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</si>
  <si>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</si>
  <si>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</si>
  <si>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</si>
  <si>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</si>
  <si>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</si>
  <si>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</si>
  <si>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</si>
  <si>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</si>
  <si>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</si>
  <si>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</si>
  <si>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</si>
  <si>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</si>
  <si>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</si>
  <si>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</si>
  <si>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</si>
  <si>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</si>
  <si>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</si>
  <si>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</si>
  <si>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D024</t>
  </si>
  <si>
    <t>Temporary Recovery of the Defect Responsible for Light- and Elevated Temperature-Induced Degradation: Insights Into the Physical Mechanisms Behind LeTID</t>
  </si>
  <si>
    <t>Wolfram Kwapil, Jonas Schön, Tim Niewelt, and Martin C. Schubert</t>
  </si>
  <si>
    <t>doi:10.1109/JPHOTOV.2020.3025240</t>
  </si>
  <si>
    <t>W. Kwapil et al., IEEE J. Photovoltaics, vol. 10, no. 6, pp. 1591–1603, 2020, doi: 10.1109/JPHOTOV.2020.3025240.</t>
  </si>
  <si>
    <t>mc-Si cells</t>
  </si>
  <si>
    <t>LeTID</t>
  </si>
  <si>
    <t>FF_0</t>
  </si>
  <si>
    <t>Cell_200Micron</t>
  </si>
  <si>
    <t>v_ab</t>
  </si>
  <si>
    <t>v_bc</t>
  </si>
  <si>
    <t>v_ba</t>
  </si>
  <si>
    <t>v_cb</t>
  </si>
  <si>
    <t>E_(a, ab)</t>
  </si>
  <si>
    <t>E_(a, bc)</t>
  </si>
  <si>
    <t>E_(a, ba)</t>
  </si>
  <si>
    <t>E_(a, cb)</t>
  </si>
  <si>
    <t>x_ab</t>
  </si>
  <si>
    <t>x_bc</t>
  </si>
  <si>
    <t>x_ba</t>
  </si>
  <si>
    <t>LeTID Activation energy from state A to B</t>
  </si>
  <si>
    <t>LeTID Activation energy from state B to C</t>
  </si>
  <si>
    <t>LeTID Activation energy from state B to A</t>
  </si>
  <si>
    <t>LeTID Activation energy from state C to B</t>
  </si>
  <si>
    <t>D025</t>
  </si>
  <si>
    <t>doi:10.1557/s43577-022-00438-8</t>
  </si>
  <si>
    <t>Long-term impact of light- and elevated temperature-induced degradation on photovoltaic arrays</t>
  </si>
  <si>
    <t>I.L. Repins, D.C. Jordan, M.Woodhouse, M. Theristis, J.S. Stein, H.P. Seigneur, D.J. Colvin, J.F. Karas, A.N. McPherson, C. Deline</t>
  </si>
  <si>
    <r>
      <t xml:space="preserve">I. Repins et al., MRS Bulletin, 2023. </t>
    </r>
    <r>
      <rPr>
        <sz val="11"/>
        <color rgb="FF000000"/>
        <rFont val="Calibri"/>
        <family val="2"/>
        <scheme val="minor"/>
      </rPr>
      <t>doi: 10.1557/s43577-022-00438-8.</t>
    </r>
  </si>
  <si>
    <t>LeTID, Indoor, Outdoor</t>
  </si>
  <si>
    <t>p-Si Cells</t>
  </si>
  <si>
    <t>D026</t>
  </si>
  <si>
    <t>doi:10.1016/j.solmat.2017.08.007</t>
  </si>
  <si>
    <t>Light-induced lifetime degradation in high-performance multicrystalline silicon: Detailed kinetics of the defect activation</t>
  </si>
  <si>
    <r>
      <t>Dennis Bredemeier</t>
    </r>
    <r>
      <rPr>
        <sz val="10"/>
        <color rgb="FF2E2E2E"/>
        <rFont val="Arial"/>
        <family val="2"/>
      </rPr>
      <t>, </t>
    </r>
    <r>
      <rPr>
        <sz val="11"/>
        <color theme="1"/>
        <rFont val="Calibri"/>
        <family val="2"/>
        <scheme val="minor"/>
      </rPr>
      <t>Dominic Walter</t>
    </r>
    <r>
      <rPr>
        <sz val="10"/>
        <color rgb="FF2E2E2E"/>
        <rFont val="Arial"/>
        <family val="2"/>
      </rPr>
      <t>, </t>
    </r>
    <r>
      <rPr>
        <sz val="11"/>
        <color theme="1"/>
        <rFont val="Calibri"/>
        <family val="2"/>
        <scheme val="minor"/>
      </rPr>
      <t>Jan Schmidt</t>
    </r>
  </si>
  <si>
    <t>D. Bredemeier et al., Sol. Energy Mater. Sol. Cells, vol. 173, pp. 2–5, 2017, doi: 10.1016/j.solmat.2017.08.007.</t>
  </si>
  <si>
    <t xml:space="preserve">multi-Si, LeTID, </t>
  </si>
  <si>
    <t>multi-Si</t>
  </si>
  <si>
    <t>ab158micronwafer_bc200microncell</t>
  </si>
  <si>
    <t>LeTID prefactor, attempt frequency from state A to B</t>
  </si>
  <si>
    <t>LeTID Excess Carrier Density Exponent</t>
  </si>
  <si>
    <t>doi:10.1109/JPHOTOV.2021.3078367</t>
  </si>
  <si>
    <t>D027</t>
  </si>
  <si>
    <t>G. Wyller et al., IEEE J. Photovoltaics, vol. 11, no. 4, pp. 878–889, 2021, doi: 10.1109/JPHOTOV.2021.3078367.</t>
  </si>
  <si>
    <t>Guro Marie Wyller, Marie Syre Wiig, Ida Due-Sørensen, Rune Søndenå</t>
  </si>
  <si>
    <t>p-type mc-Si Perc, Degradation, LeTID, Hydrogen Involvement</t>
  </si>
  <si>
    <t>p-type mc-Si Perc</t>
  </si>
  <si>
    <t>wafer_180micron</t>
  </si>
  <si>
    <t>The Influence of Minority Carrier Density on Degradation and Regeneration Kinetics in Multicrystalline Silicon Wafers</t>
  </si>
  <si>
    <t>(cm^3x)/s</t>
  </si>
  <si>
    <t>k_b</t>
  </si>
  <si>
    <t>Boltzmann Constant</t>
  </si>
  <si>
    <t>kg*m^2/K*s^2</t>
  </si>
  <si>
    <t>D028</t>
  </si>
  <si>
    <t>doi:10.1109/JPHOTOV.2021.3078368</t>
  </si>
  <si>
    <t>wafer_200micron</t>
  </si>
  <si>
    <t>D029</t>
  </si>
  <si>
    <t>doi:10.1063/1.5123890</t>
  </si>
  <si>
    <t>Determination of BO-LID and LeTID related activation energies in Cz-Si and FZ-Si using constant injection conditions</t>
  </si>
  <si>
    <t>Alexander Graf, Axel Herguth, Giso Hahn</t>
  </si>
  <si>
    <t>A. Graf, et al., AIP Conference Proceedings, vol. 2147, no. 1, p. 140003, 2019, doi: 10.1063/1.5123890.</t>
  </si>
  <si>
    <t>Si, Boron Doped, LeTID, Degradation</t>
  </si>
  <si>
    <t>Si, CZ FZ grown</t>
  </si>
  <si>
    <t>wafer_152micron</t>
  </si>
  <si>
    <t>D030</t>
  </si>
  <si>
    <t>10.1007/3-540-61218-1_6</t>
  </si>
  <si>
    <t>Wavelength sensitivity in polymer photodegradation</t>
  </si>
  <si>
    <t>Anthony L Andrady</t>
  </si>
  <si>
    <t>Andrady, A.L. (1997). Wavelength sensitivity in polymer photodegradation. In: Polymer Analysis Polymer Physics. Advances in Polymer Science, vol 128. Springer, Berlin, Heidelberg. https://doi.org/10.1007/3-540-61218-1_6</t>
  </si>
  <si>
    <t>Photodegradation, Vinyl Chloride, Activation Spectrum, Action Spectrum</t>
  </si>
  <si>
    <t>Naturally Occuring Polymers, Synthetic Polymers</t>
  </si>
  <si>
    <t>Photodegradation</t>
  </si>
  <si>
    <t>Activation Spectrum</t>
  </si>
  <si>
    <t>L</t>
  </si>
  <si>
    <t>Lambda (Wavelength)</t>
  </si>
  <si>
    <t>nm</t>
  </si>
  <si>
    <t>Q</t>
  </si>
  <si>
    <t>Quantum Yield</t>
  </si>
  <si>
    <t>A_T</t>
  </si>
  <si>
    <t>Temperature prefactor</t>
  </si>
  <si>
    <t>A_UV</t>
  </si>
  <si>
    <t>A_RH</t>
  </si>
  <si>
    <t>UV prefactor</t>
  </si>
  <si>
    <t>RH prefactor</t>
  </si>
  <si>
    <t>Henry K. Hardcastle</t>
  </si>
  <si>
    <t>D031</t>
  </si>
  <si>
    <t>A Characterization of the Relationship Between Light Intensity and Degradation Rate for Weathering Durability</t>
  </si>
  <si>
    <t>Durability, EMMA, Degradation Rate</t>
  </si>
  <si>
    <t>Life Expectation</t>
  </si>
  <si>
    <t>LE</t>
  </si>
  <si>
    <t>BPT_K</t>
  </si>
  <si>
    <t>Black Panel Temperature</t>
  </si>
  <si>
    <t>D032</t>
  </si>
  <si>
    <t>Benoît Braisaz1 , Chloé Duchayne, Mike Van Iseghem, Khalid Radouane</t>
  </si>
  <si>
    <t>PV AGING MODEL APPLIED TO SEVERAL METEOROLOGICAL CONDITIONS</t>
  </si>
  <si>
    <t>10.4229/EUPVSEC20142014-5CO.5.4</t>
  </si>
  <si>
    <t>Braisaz, B., et al. (2014). PV aging model applied to several meteorological conditions.</t>
  </si>
  <si>
    <t>Aging, Damp heat, Outdoor, PV modeling, Models, PV module, degradation rate, Activation Energy, PID, cracks, UV</t>
  </si>
  <si>
    <t>Double Diode module</t>
  </si>
  <si>
    <t>Damp Heat Corrosion Model</t>
  </si>
  <si>
    <t>Modified Peck</t>
  </si>
  <si>
    <t>Degradation, Defect reactions, light- and elevated temperature-induced degradation, LeTID, model, silicon defects.</t>
  </si>
  <si>
    <t>E_L</t>
  </si>
  <si>
    <t>da</t>
  </si>
  <si>
    <t>E of lambda</t>
  </si>
  <si>
    <t>B_g</t>
  </si>
  <si>
    <t>Name</t>
  </si>
  <si>
    <t>Alias</t>
  </si>
  <si>
    <t>Fickian</t>
  </si>
  <si>
    <t>Diffusivity</t>
  </si>
  <si>
    <t>Solubility</t>
  </si>
  <si>
    <t>Permeability</t>
  </si>
  <si>
    <t>(kJ/mol)</t>
  </si>
  <si>
    <r>
      <t>(cm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/s)</t>
    </r>
  </si>
  <si>
    <r>
      <t>(g/cm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</si>
  <si>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(g</t>
    </r>
    <r>
      <rPr>
        <sz val="10"/>
        <rFont val="Calibri"/>
        <family val="2"/>
      </rPr>
      <t>·</t>
    </r>
    <r>
      <rPr>
        <sz val="10"/>
        <rFont val="Arial"/>
        <family val="2"/>
      </rPr>
      <t>mm/m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/day)</t>
    </r>
  </si>
  <si>
    <t>VHB 5047</t>
  </si>
  <si>
    <t>Double Stick Tape #1</t>
  </si>
  <si>
    <t>Kempe</t>
  </si>
  <si>
    <t>AAA</t>
  </si>
  <si>
    <t>Coveme</t>
  </si>
  <si>
    <t>Stabilized PET</t>
  </si>
  <si>
    <t>VHB 5952</t>
  </si>
  <si>
    <t>Double Stick Tape #2</t>
  </si>
  <si>
    <t>BRP-C</t>
  </si>
  <si>
    <t>Formulated EPDM-C</t>
  </si>
  <si>
    <t>Surlyn "Jura Sol"</t>
  </si>
  <si>
    <t>Ionomer #2</t>
  </si>
  <si>
    <t>Fickian below 60C</t>
  </si>
  <si>
    <t>Etimex Aliphatic Thermoplastic Polyurethane</t>
  </si>
  <si>
    <t>TPU #1</t>
  </si>
  <si>
    <t>DC8130</t>
  </si>
  <si>
    <r>
      <t>Poly-</t>
    </r>
    <r>
      <rPr>
        <sz val="10"/>
        <rFont val="Calibri"/>
        <family val="2"/>
      </rPr>
      <t>α</t>
    </r>
    <r>
      <rPr>
        <sz val="10"/>
        <rFont val="Arial"/>
        <family val="2"/>
      </rPr>
      <t>-Olefin #2</t>
    </r>
  </si>
  <si>
    <t>DC8100</t>
  </si>
  <si>
    <t>Poly-α-Olefin #1</t>
  </si>
  <si>
    <t>Kapton</t>
  </si>
  <si>
    <t>Polyimide</t>
  </si>
  <si>
    <t>Black PVC</t>
  </si>
  <si>
    <t>Clear PVC</t>
  </si>
  <si>
    <t>Korad</t>
  </si>
  <si>
    <t>Acrylate Copolymer</t>
  </si>
  <si>
    <t>Tefzel</t>
  </si>
  <si>
    <t>ETFE</t>
  </si>
  <si>
    <t>Poly Ethylene Napthlate</t>
  </si>
  <si>
    <t>PEN</t>
  </si>
  <si>
    <t>Mylar-D</t>
  </si>
  <si>
    <t>PET #1</t>
  </si>
  <si>
    <t>ST504</t>
  </si>
  <si>
    <t>PET #2</t>
  </si>
  <si>
    <t>Lexan</t>
  </si>
  <si>
    <t>Polycarbonate</t>
  </si>
  <si>
    <t>Poly Vinyl Butral, S-LEC Sekisui, and Saflex Solutia</t>
  </si>
  <si>
    <t>PVB #1</t>
  </si>
  <si>
    <t>Old DNP</t>
  </si>
  <si>
    <t>TPO #1</t>
  </si>
  <si>
    <t>Unknown</t>
  </si>
  <si>
    <t>Vectran</t>
  </si>
  <si>
    <t>LCP</t>
  </si>
  <si>
    <t>Tedlar</t>
  </si>
  <si>
    <t>Filled PVF</t>
  </si>
  <si>
    <t>White Aclar</t>
  </si>
  <si>
    <t>PCTFE #1</t>
  </si>
  <si>
    <t>Clear Aclar</t>
  </si>
  <si>
    <t>PCTFE #2</t>
  </si>
  <si>
    <t>Ethylene Vinyl Acetate</t>
  </si>
  <si>
    <t>EVA</t>
  </si>
  <si>
    <t>Michael Kempe  Modeling of rates of moisture ingress into photovoltaic modules</t>
  </si>
  <si>
    <t>DC184</t>
  </si>
  <si>
    <t>PDMS #2</t>
  </si>
  <si>
    <t>RTV615</t>
  </si>
  <si>
    <t>PDMS #1</t>
  </si>
  <si>
    <t>Viton Matte</t>
  </si>
  <si>
    <t>Fluorpolymer Rubber #1</t>
  </si>
  <si>
    <t>Non-Fickian</t>
  </si>
  <si>
    <t>Viton Gloss</t>
  </si>
  <si>
    <t>Fluorpolymer Rubber #2</t>
  </si>
  <si>
    <t>DNP 2777</t>
  </si>
  <si>
    <t>TPO #2</t>
  </si>
  <si>
    <t>Stevens PV251 Aliphatic TPU</t>
  </si>
  <si>
    <t>TPU #2</t>
  </si>
  <si>
    <t>Dupont PV5300 Ionomer</t>
  </si>
  <si>
    <t>Ionomer #1</t>
  </si>
  <si>
    <t>Dupont PV5200 Polyvinylbutral</t>
  </si>
  <si>
    <t>PVB #2</t>
  </si>
  <si>
    <t>Steven PV301</t>
  </si>
  <si>
    <t>TPU #3</t>
  </si>
  <si>
    <t>DNP PV-FS CVF2B</t>
  </si>
  <si>
    <t>TPO-3</t>
  </si>
  <si>
    <t>Fickian Two Zone (&lt;40)</t>
  </si>
  <si>
    <t>Fickian Two Zone (&gt;40)</t>
  </si>
  <si>
    <t>PIB Lee Yang Wilusz</t>
  </si>
  <si>
    <t>PIB</t>
  </si>
  <si>
    <t>Lee Yang Wilusz  Moisture Effects on Isobutylene Isoprene Copolymer Based Composite Barrier  Moisture Diffusion and Detection</t>
  </si>
  <si>
    <t>PIB Helioseal matrix only</t>
  </si>
  <si>
    <t>PIB Matrix #1</t>
  </si>
  <si>
    <t>Kempe Panchagade Reese Dameron  Modeling moisture ingress through polyisobutylene based edge seals</t>
  </si>
  <si>
    <t xml:space="preserve">PIB Quanex LPO-3 </t>
  </si>
  <si>
    <t>PIB Matrix #2</t>
  </si>
  <si>
    <t>Kempe Nobles Postak Calderon  Moisture ingress prediction in polyisobutylene based edge seal with molecular sieve desiccant</t>
  </si>
  <si>
    <t>PVF</t>
  </si>
  <si>
    <t>PET1</t>
  </si>
  <si>
    <t>Helioseal 101</t>
  </si>
  <si>
    <t>PIB-A</t>
  </si>
  <si>
    <t>Kempe, Preliminary</t>
  </si>
  <si>
    <t>Helioseal 101 Wet</t>
  </si>
  <si>
    <t>PIB-A Wet</t>
  </si>
  <si>
    <t>LPO3</t>
  </si>
  <si>
    <t>PIB-B</t>
  </si>
  <si>
    <t>Data insufficient for D and S calculation.</t>
  </si>
  <si>
    <t>D033</t>
  </si>
  <si>
    <t>D034</t>
  </si>
  <si>
    <t>D035</t>
  </si>
  <si>
    <t>Irradiance under an LED at 550 nm</t>
  </si>
  <si>
    <t>Functions</t>
  </si>
  <si>
    <t>T_K</t>
  </si>
  <si>
    <t>Arrhenius_Schwarzchild_340</t>
  </si>
  <si>
    <t>P</t>
  </si>
  <si>
    <t>AAA polyamide</t>
  </si>
  <si>
    <t>Product Name</t>
  </si>
  <si>
    <t>Double Stick Tape</t>
  </si>
  <si>
    <t>polyethylene-co-propylene-co-dienemonomer</t>
  </si>
  <si>
    <t>Ionomer, polyethylene-co-sodium methacrylic acid</t>
  </si>
  <si>
    <t>Polyurethane</t>
  </si>
  <si>
    <t>Polyimide, poly-oxydiphenylene-pyromellitimide</t>
  </si>
  <si>
    <t>Polyvinyl Chloride</t>
  </si>
  <si>
    <t>poly ethylene-co-tetrafluoroethylene</t>
  </si>
  <si>
    <t>Polyethylene Terepthalate</t>
  </si>
  <si>
    <t>Polycarbonate, Bisphenol-A-polycarbonate</t>
  </si>
  <si>
    <t>YI/s</t>
  </si>
  <si>
    <t>R_D=R_0*e^(-E_a/(R*T_K ))</t>
  </si>
  <si>
    <t>R_D=R_0*G^x (1/(b+m*TOW))(T_f^(T/10) )</t>
  </si>
  <si>
    <t>R_D=R_0*e^(-E_a/(R*T_K )) (RH/(1-RH+E))</t>
  </si>
  <si>
    <t>R_D=R_0*e^(-E_a/(R*T_k )) (RH/(1-RH+E))</t>
  </si>
  <si>
    <t>R_D=R_0*RH^n*G_340^P*e^(-E_a/K_(b*T_K ) )</t>
  </si>
  <si>
    <t>t_fail=e^(E_a/(ln(A)*R*T_K))/(RH^2)</t>
  </si>
  <si>
    <t>R_D=R_(0,WPO)*e^(-E_(a,WPO)/(k_b*T_K ))*((P_(O_2 )*P_(H_2 O)*G_550^.07 ))/(1+K_2W*P_(O_2 ) (1+K_3W*G_550^0.7 ))^2 +R_(0,DPO)*e^(-E_(a,DPO)/(k_b∗T_K ))*((P_(O_2 )*G_550^0.7 ))/(1+K_2D*P_(O_2 ) (1+K_3D*G_550^0.7 ))^2 +R_(0, hum)*e^(-(E_a^hum)/(k_b*T_K ))*P_(H_2 O)*G_550^0.7+R_(0,therm)*e^(-(E_a^therm)/(k_b*T_K ))</t>
  </si>
  <si>
    <t>mol/(m^2*s)</t>
  </si>
  <si>
    <t>mol/(m^2*s*kpa^2 )*(photons/(m^2*s))^(-0.7)</t>
  </si>
  <si>
    <t>(photons/(m^2*s))^(-0.7)</t>
  </si>
  <si>
    <t>mol/(m^2*s*kpa )*(photons/(m^2*s))^(-0.7)</t>
  </si>
  <si>
    <t>mol/(m^2*s*kpa)*(photons/(m^2*s))^(-0.7)</t>
  </si>
  <si>
    <t>FF_t=FF_0*(1-A_i/A_o*(1-e^(-e^((B_1-B_2/(k_b*T_K )-B_3*RH)) ) ))</t>
  </si>
  <si>
    <t>R_D=R_(0, thermal)*e^(-E_(a,thermal)/(k_b*T_K ))+R_(0, Hydrolysis)*RH^m*e^(-E_(a,hydrolysis)/(k_b*T_K ))+R_(0, PhotoDegr)*G^n*e^(-E_(a,PhotoDegr)/(k_b*T_K ))</t>
  </si>
  <si>
    <t>𝑅_𝐷=𝑅_0*𝐺^𝑝*𝑒^(𝐸_𝑎/(𝑅*𝑇_K ))</t>
  </si>
  <si>
    <t>R_D=R_0*G*e^(-E_a/(R*T_K ))*∆T_K</t>
  </si>
  <si>
    <t>Activation Spectrum=(E_L)*(R_0*e^(-B_g*L))</t>
  </si>
  <si>
    <t>R_D=R_0*〖G_340〗^P*e^(E_a/(R*T_K ))</t>
  </si>
  <si>
    <t>R_D=R_0*(RH)^n*e^(E_a/(k_b*T_K ))</t>
  </si>
  <si>
    <t>This is used to get the start of a Json file. Copy to Word, save as *.txt, then open and modify as needed.</t>
  </si>
  <si>
    <t>D036</t>
  </si>
  <si>
    <t>Humidity, Irradiance, reciprocity</t>
  </si>
  <si>
    <t>UV Cut On, UV Transmittance 310nm-350nm, Yellowness index, SPQEWT</t>
  </si>
  <si>
    <t xml:space="preserve">        "Corr-E_a-P": -0.606 </t>
  </si>
  <si>
    <r>
      <t>D=D_o ∫2_0^t▒〖〖RH(t)〗^</t>
    </r>
    <r>
      <rPr>
        <sz val="12"/>
        <color rgb="FF0070C0"/>
        <rFont val="Cambria Math"/>
        <family val="1"/>
      </rPr>
      <t>n</t>
    </r>
    <r>
      <rPr>
        <sz val="12"/>
        <color rgb="FF000000"/>
        <rFont val="Cambria Math"/>
        <family val="1"/>
      </rPr>
      <t>·e^(</t>
    </r>
    <r>
      <rPr>
        <sz val="12"/>
        <color rgb="FFFF0000"/>
        <rFont val="Calibri"/>
        <family val="2"/>
        <scheme val="minor"/>
      </rPr>
      <t>〖-E〗_a</t>
    </r>
    <r>
      <rPr>
        <sz val="12"/>
        <color rgb="FF000000"/>
        <rFont val="Cambria Math"/>
        <family val="1"/>
      </rPr>
      <t>/RT(t) ) ∫18_λ▒〖[e^(</t>
    </r>
    <r>
      <rPr>
        <sz val="12"/>
        <color rgb="FF00B050"/>
        <rFont val="Calibri"/>
        <family val="2"/>
        <scheme val="minor"/>
      </rPr>
      <t>〖-C〗_2</t>
    </r>
    <r>
      <rPr>
        <sz val="12"/>
        <color rgb="FF000000"/>
        <rFont val="Cambria Math"/>
        <family val="1"/>
      </rPr>
      <t xml:space="preserve"> λ)∙G(λ,t)]^</t>
    </r>
    <r>
      <rPr>
        <sz val="12"/>
        <color rgb="FF7030A0"/>
        <rFont val="Cambria Math"/>
        <family val="1"/>
      </rPr>
      <t>x</t>
    </r>
    <r>
      <rPr>
        <sz val="12"/>
        <color rgb="FF000000"/>
        <rFont val="Cambria Math"/>
        <family val="1"/>
      </rPr>
      <t xml:space="preserve"> dλdt〗〗</t>
    </r>
  </si>
  <si>
    <t>²</t>
  </si>
  <si>
    <r>
      <t>(g</t>
    </r>
    <r>
      <rPr>
        <sz val="10"/>
        <rFont val="Calibri"/>
        <family val="2"/>
      </rPr>
      <t>·</t>
    </r>
    <r>
      <rPr>
        <sz val="10"/>
        <rFont val="Arial"/>
        <family val="2"/>
      </rPr>
      <t>mm/m</t>
    </r>
    <r>
      <rPr>
        <vertAlign val="superscript"/>
        <sz val="10"/>
        <rFont val="Aptos Narrow"/>
        <family val="2"/>
      </rPr>
      <t>²</t>
    </r>
    <r>
      <rPr>
        <sz val="10"/>
        <rFont val="Arial"/>
        <family val="2"/>
      </rPr>
      <t>/day)</t>
    </r>
  </si>
  <si>
    <r>
      <t>(g/cm</t>
    </r>
    <r>
      <rPr>
        <vertAlign val="superscript"/>
        <sz val="10"/>
        <rFont val="Aptos Narrow"/>
        <family val="2"/>
      </rPr>
      <t>³</t>
    </r>
    <r>
      <rPr>
        <sz val="10"/>
        <rFont val="Arial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</si>
</sst>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8.35"/>
      <color theme="1"/>
      <name val="Calibri"/>
      <family val="2"/>
      <scheme val="minor"/>
    </font>
    <font>
      <sz val="11"/>
      <color theme="1"/>
      <name val="Cambria Math"/>
      <family val="1"/>
    </font>
    <font>
      <sz val="11"/>
      <color rgb="FF333333"/>
      <name val="Calibri"/>
      <family val="2"/>
      <scheme val="minor"/>
    </font>
    <font>
      <i/>
      <sz val="11"/>
      <color rgb="FF33333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E2E2E"/>
      <name val="Calibri"/>
      <family val="2"/>
      <scheme val="minor"/>
    </font>
    <font>
      <sz val="10"/>
      <color rgb="FF2E2E2E"/>
      <name val="Arial"/>
      <family val="2"/>
    </font>
    <font>
      <sz val="11"/>
      <color rgb="FF1D1B1B"/>
      <name val="Calibri"/>
      <family val="2"/>
      <scheme val="minor"/>
    </font>
    <font>
      <sz val="11"/>
      <color rgb="FF1A1A1A"/>
      <name val="Calibri"/>
      <family val="2"/>
      <scheme val="minor"/>
    </font>
    <font>
      <sz val="10"/>
      <color rgb="FF333333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0"/>
      <name val="Calibri"/>
      <family val="2"/>
    </font>
    <font>
      <sz val="10"/>
      <color rgb="FFFF0000"/>
      <name val="Arial"/>
      <family val="2"/>
    </font>
    <font>
      <sz val="10"/>
      <color rgb="FF008000"/>
      <name val="Arial"/>
      <family val="2"/>
    </font>
    <font>
      <sz val="11"/>
      <color theme="1"/>
      <name val="Aptos Narrow"/>
      <family val="2"/>
    </font>
    <font>
      <sz val="12"/>
      <color rgb="FF000000"/>
      <name val="Cambria Math"/>
      <family val="1"/>
    </font>
    <font>
      <sz val="12"/>
      <color rgb="FF0070C0"/>
      <name val="Cambria Math"/>
      <family val="1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7030A0"/>
      <name val="Cambria Math"/>
      <family val="1"/>
    </font>
    <font>
      <vertAlign val="superscript"/>
      <sz val="1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20" fillId="0" borderId="0"/>
  </cellStyleXfs>
  <cellXfs count="68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3" borderId="0" xfId="0" applyFill="1" applyAlignment="1">
      <alignment vertical="center" wrapText="1"/>
    </xf>
    <xf numFmtId="11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/>
    <xf numFmtId="0" fontId="5" fillId="2" borderId="0" xfId="0" applyFont="1" applyFill="1"/>
    <xf numFmtId="0" fontId="6" fillId="0" borderId="0" xfId="1" applyAlignment="1">
      <alignment vertical="center"/>
    </xf>
    <xf numFmtId="0" fontId="7" fillId="0" borderId="0" xfId="0" applyFont="1"/>
    <xf numFmtId="14" fontId="0" fillId="0" borderId="0" xfId="0" applyNumberFormat="1" applyAlignment="1">
      <alignment vertical="center" wrapText="1"/>
    </xf>
    <xf numFmtId="0" fontId="0" fillId="3" borderId="0" xfId="0" applyFill="1"/>
    <xf numFmtId="11" fontId="0" fillId="0" borderId="0" xfId="0" applyNumberFormat="1"/>
    <xf numFmtId="0" fontId="4" fillId="0" borderId="0" xfId="0" applyFont="1" applyAlignment="1">
      <alignment horizontal="left" vertical="center" wrapText="1"/>
    </xf>
    <xf numFmtId="14" fontId="0" fillId="0" borderId="0" xfId="0" applyNumberFormat="1"/>
    <xf numFmtId="14" fontId="0" fillId="0" borderId="0" xfId="0" applyNumberFormat="1" applyAlignment="1">
      <alignment vertical="center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vertical="center" wrapText="1"/>
    </xf>
    <xf numFmtId="14" fontId="0" fillId="3" borderId="0" xfId="0" applyNumberFormat="1" applyFill="1"/>
    <xf numFmtId="0" fontId="12" fillId="3" borderId="0" xfId="0" applyFont="1" applyFill="1"/>
    <xf numFmtId="0" fontId="0" fillId="3" borderId="0" xfId="0" applyFill="1" applyAlignment="1">
      <alignment wrapText="1"/>
    </xf>
    <xf numFmtId="0" fontId="10" fillId="0" borderId="0" xfId="0" applyFont="1" applyAlignment="1">
      <alignment vertical="center" wrapText="1"/>
    </xf>
    <xf numFmtId="0" fontId="5" fillId="0" borderId="0" xfId="1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5" fillId="0" borderId="0" xfId="0" applyFont="1"/>
    <xf numFmtId="0" fontId="15" fillId="0" borderId="0" xfId="0" applyFont="1" applyAlignment="1">
      <alignment vertical="center" wrapText="1"/>
    </xf>
    <xf numFmtId="0" fontId="16" fillId="0" borderId="0" xfId="0" applyFont="1"/>
    <xf numFmtId="0" fontId="17" fillId="0" borderId="0" xfId="0" applyFont="1"/>
    <xf numFmtId="0" fontId="9" fillId="0" borderId="0" xfId="0" applyFont="1" applyAlignment="1">
      <alignment vertical="center"/>
    </xf>
    <xf numFmtId="0" fontId="0" fillId="3" borderId="0" xfId="0" applyFill="1" applyAlignment="1">
      <alignment vertical="center"/>
    </xf>
    <xf numFmtId="11" fontId="0" fillId="0" borderId="0" xfId="0" applyNumberFormat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1" xfId="0" applyFont="1" applyBorder="1"/>
    <xf numFmtId="2" fontId="20" fillId="0" borderId="1" xfId="0" applyNumberFormat="1" applyFont="1" applyBorder="1" applyAlignment="1">
      <alignment horizontal="center" vertical="center"/>
    </xf>
    <xf numFmtId="11" fontId="20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wrapText="1"/>
    </xf>
    <xf numFmtId="0" fontId="23" fillId="0" borderId="1" xfId="0" applyFont="1" applyBorder="1"/>
    <xf numFmtId="0" fontId="23" fillId="0" borderId="1" xfId="0" applyFont="1" applyBorder="1" applyAlignment="1">
      <alignment horizontal="center"/>
    </xf>
    <xf numFmtId="0" fontId="20" fillId="4" borderId="1" xfId="0" applyFont="1" applyFill="1" applyBorder="1" applyAlignment="1">
      <alignment wrapText="1"/>
    </xf>
    <xf numFmtId="0" fontId="20" fillId="4" borderId="1" xfId="0" applyFont="1" applyFill="1" applyBorder="1" applyAlignment="1">
      <alignment horizontal="center" vertical="center"/>
    </xf>
    <xf numFmtId="0" fontId="20" fillId="0" borderId="1" xfId="2" applyBorder="1"/>
    <xf numFmtId="0" fontId="23" fillId="0" borderId="1" xfId="2" applyFont="1" applyBorder="1"/>
    <xf numFmtId="0" fontId="20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0" xfId="2"/>
    <xf numFmtId="0" fontId="20" fillId="0" borderId="0" xfId="0" applyFont="1" applyAlignment="1">
      <alignment horizontal="center" vertical="center" wrapText="1"/>
    </xf>
    <xf numFmtId="0" fontId="20" fillId="0" borderId="0" xfId="0" applyFont="1"/>
    <xf numFmtId="2" fontId="0" fillId="0" borderId="1" xfId="0" applyNumberForma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20" fillId="0" borderId="1" xfId="0" applyFont="1" applyBorder="1" applyAlignment="1">
      <alignment vertical="center"/>
    </xf>
    <xf numFmtId="0" fontId="9" fillId="3" borderId="0" xfId="0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25" fillId="2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0" fillId="0" borderId="2" xfId="0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3C8D303C-D525-417C-A951-9C73BC9A33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139211</xdr:colOff>
      <xdr:row>3</xdr:row>
      <xdr:rowOff>14653</xdr:rowOff>
    </xdr:from>
    <xdr:ext cx="1033745" cy="272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0EC5907-292A-46CE-A174-77E27389114F}"/>
                </a:ext>
              </a:extLst>
            </xdr:cNvPr>
            <xdr:cNvSpPr txBox="1"/>
          </xdr:nvSpPr>
          <xdr:spPr>
            <a:xfrm>
              <a:off x="16882044" y="776653"/>
              <a:ext cx="103374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0EC5907-292A-46CE-A174-77E27389114F}"/>
                </a:ext>
              </a:extLst>
            </xdr:cNvPr>
            <xdr:cNvSpPr txBox="1"/>
          </xdr:nvSpPr>
          <xdr:spPr>
            <a:xfrm>
              <a:off x="16882044" y="776653"/>
              <a:ext cx="103374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117657</xdr:colOff>
      <xdr:row>4</xdr:row>
      <xdr:rowOff>289379</xdr:rowOff>
    </xdr:from>
    <xdr:ext cx="2180725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91BD82F-7168-1E8D-3ED9-8422E0C65485}"/>
                </a:ext>
              </a:extLst>
            </xdr:cNvPr>
            <xdr:cNvSpPr txBox="1"/>
          </xdr:nvSpPr>
          <xdr:spPr>
            <a:xfrm>
              <a:off x="9141914" y="1116693"/>
              <a:ext cx="218072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91BD82F-7168-1E8D-3ED9-8422E0C65485}"/>
                </a:ext>
              </a:extLst>
            </xdr:cNvPr>
            <xdr:cNvSpPr txBox="1"/>
          </xdr:nvSpPr>
          <xdr:spPr>
            <a:xfrm>
              <a:off x="9141914" y="1116693"/>
              <a:ext cx="218072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203200</xdr:colOff>
      <xdr:row>5</xdr:row>
      <xdr:rowOff>42334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22B136B-7E8C-E910-21BF-E15647165C3A}"/>
                </a:ext>
              </a:extLst>
            </xdr:cNvPr>
            <xdr:cNvSpPr txBox="1"/>
          </xdr:nvSpPr>
          <xdr:spPr>
            <a:xfrm>
              <a:off x="12776200" y="1698856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22B136B-7E8C-E910-21BF-E15647165C3A}"/>
                </a:ext>
              </a:extLst>
            </xdr:cNvPr>
            <xdr:cNvSpPr txBox="1"/>
          </xdr:nvSpPr>
          <xdr:spPr>
            <a:xfrm>
              <a:off x="12776200" y="1698856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211666</xdr:colOff>
      <xdr:row>6</xdr:row>
      <xdr:rowOff>143934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5AFC2CE-4D6B-443F-91D5-9C48AA9839E6}"/>
                </a:ext>
              </a:extLst>
            </xdr:cNvPr>
            <xdr:cNvSpPr txBox="1"/>
          </xdr:nvSpPr>
          <xdr:spPr>
            <a:xfrm>
              <a:off x="12784666" y="2396804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5AFC2CE-4D6B-443F-91D5-9C48AA9839E6}"/>
                </a:ext>
              </a:extLst>
            </xdr:cNvPr>
            <xdr:cNvSpPr txBox="1"/>
          </xdr:nvSpPr>
          <xdr:spPr>
            <a:xfrm>
              <a:off x="12784666" y="2396804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101600</xdr:colOff>
      <xdr:row>7</xdr:row>
      <xdr:rowOff>118533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67A6316-E2CC-469F-8178-B6195B112379}"/>
                </a:ext>
              </a:extLst>
            </xdr:cNvPr>
            <xdr:cNvSpPr txBox="1"/>
          </xdr:nvSpPr>
          <xdr:spPr>
            <a:xfrm>
              <a:off x="12674600" y="2967750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67A6316-E2CC-469F-8178-B6195B112379}"/>
                </a:ext>
              </a:extLst>
            </xdr:cNvPr>
            <xdr:cNvSpPr txBox="1"/>
          </xdr:nvSpPr>
          <xdr:spPr>
            <a:xfrm>
              <a:off x="12674600" y="2967750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𝑇_𝑘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372533</xdr:colOff>
      <xdr:row>6</xdr:row>
      <xdr:rowOff>143933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3844D19-A958-8946-5ABF-301CAD441742}"/>
            </a:ext>
          </a:extLst>
        </xdr:cNvPr>
        <xdr:cNvSpPr txBox="1"/>
      </xdr:nvSpPr>
      <xdr:spPr>
        <a:xfrm>
          <a:off x="7416800" y="2489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110067</xdr:colOff>
      <xdr:row>8</xdr:row>
      <xdr:rowOff>143934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562E39B-11C8-4053-8C7E-2F5D21B28209}"/>
                </a:ext>
              </a:extLst>
            </xdr:cNvPr>
            <xdr:cNvSpPr txBox="1"/>
          </xdr:nvSpPr>
          <xdr:spPr>
            <a:xfrm>
              <a:off x="14849538" y="3684993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562E39B-11C8-4053-8C7E-2F5D21B28209}"/>
                </a:ext>
              </a:extLst>
            </xdr:cNvPr>
            <xdr:cNvSpPr txBox="1"/>
          </xdr:nvSpPr>
          <xdr:spPr>
            <a:xfrm>
              <a:off x="14849538" y="3684993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131704</xdr:colOff>
      <xdr:row>12</xdr:row>
      <xdr:rowOff>169333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E2130D8-729E-4C2F-9C14-DF2665A28034}"/>
                </a:ext>
              </a:extLst>
            </xdr:cNvPr>
            <xdr:cNvSpPr txBox="1"/>
          </xdr:nvSpPr>
          <xdr:spPr>
            <a:xfrm>
              <a:off x="16197204" y="737204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E2130D8-729E-4C2F-9C14-DF2665A28034}"/>
                </a:ext>
              </a:extLst>
            </xdr:cNvPr>
            <xdr:cNvSpPr txBox="1"/>
          </xdr:nvSpPr>
          <xdr:spPr>
            <a:xfrm>
              <a:off x="16197204" y="737204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169333</xdr:colOff>
      <xdr:row>9</xdr:row>
      <xdr:rowOff>381000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157C7399-4B6B-4B3F-9EE3-B4F4EBC19B48}"/>
                </a:ext>
              </a:extLst>
            </xdr:cNvPr>
            <xdr:cNvSpPr txBox="1"/>
          </xdr:nvSpPr>
          <xdr:spPr>
            <a:xfrm>
              <a:off x="16912166" y="53022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157C7399-4B6B-4B3F-9EE3-B4F4EBC19B48}"/>
                </a:ext>
              </a:extLst>
            </xdr:cNvPr>
            <xdr:cNvSpPr txBox="1"/>
          </xdr:nvSpPr>
          <xdr:spPr>
            <a:xfrm>
              <a:off x="16912166" y="53022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1144460</xdr:colOff>
      <xdr:row>16</xdr:row>
      <xdr:rowOff>691821</xdr:rowOff>
    </xdr:from>
    <xdr:ext cx="975360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4A0758-2194-91CB-670A-F112174D69FF}"/>
                </a:ext>
              </a:extLst>
            </xdr:cNvPr>
            <xdr:cNvSpPr txBox="1"/>
          </xdr:nvSpPr>
          <xdr:spPr>
            <a:xfrm>
              <a:off x="15177960" y="12068904"/>
              <a:ext cx="975360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𝑊𝑃𝑂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𝑊𝑃𝑂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𝑂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𝑂</m:t>
                                </m:r>
                              </m:sub>
                            </m:sSub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𝐺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550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.07</m:t>
                                </m:r>
                              </m:sup>
                            </m:sSubSup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b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𝑂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sub>
                                </m:sSub>
                                <m:d>
                                  <m:d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𝑊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∙</m:t>
                                    </m:r>
                                    <m:sSubSup>
                                      <m:sSubSup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𝐺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550</m:t>
                                        </m:r>
                                      </m:sub>
                                      <m:sup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0.7</m:t>
                                        </m:r>
                                      </m:sup>
                                    </m:sSubSup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𝐷𝑃𝑂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𝐷𝑃𝑂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∗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𝑂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𝐺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550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0.7</m:t>
                                </m:r>
                              </m:sup>
                            </m:sSubSup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b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𝑂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sub>
                                </m:sSub>
                                <m:d>
                                  <m:d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∙</m:t>
                                    </m:r>
                                    <m:sSubSup>
                                      <m:sSubSup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𝐺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550</m:t>
                                        </m:r>
                                      </m:sub>
                                      <m:sup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0.7</m:t>
                                        </m:r>
                                      </m:sup>
                                    </m:sSubSup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0, 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h𝑢𝑚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𝑎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h𝑢𝑚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𝑂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𝐺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550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0.7</m:t>
                        </m:r>
                      </m:sup>
                    </m:sSub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0,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𝑡h𝑒𝑟𝑚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𝑡h𝑒𝑟𝑚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4A0758-2194-91CB-670A-F112174D69FF}"/>
                </a:ext>
              </a:extLst>
            </xdr:cNvPr>
            <xdr:cNvSpPr txBox="1"/>
          </xdr:nvSpPr>
          <xdr:spPr>
            <a:xfrm>
              <a:off x="15177960" y="12068904"/>
              <a:ext cx="975360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𝑅_(0,𝐷𝑃𝑂)∙𝑒^(−𝐸_(𝑎,𝐷𝑃𝑂)/(𝑘_𝑏∗𝑇_𝐾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𝑂)∙𝐺_550^0.7+𝑅_(0,𝑡ℎ𝑒𝑟𝑚)∙𝑒^(−(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2374683</xdr:colOff>
      <xdr:row>18</xdr:row>
      <xdr:rowOff>686</xdr:rowOff>
    </xdr:from>
    <xdr:ext cx="2792111" cy="3035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32AC458-BAEB-8169-0281-555A1B544447}"/>
                </a:ext>
              </a:extLst>
            </xdr:cNvPr>
            <xdr:cNvSpPr txBox="1"/>
          </xdr:nvSpPr>
          <xdr:spPr>
            <a:xfrm>
              <a:off x="16408183" y="13251019"/>
              <a:ext cx="2792111" cy="303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𝐹𝐹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1−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)∙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(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𝐵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𝑘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∙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𝐾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3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𝑅𝐻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)</m:t>
                                </m:r>
                              </m:sup>
                            </m:sSup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32AC458-BAEB-8169-0281-555A1B544447}"/>
                </a:ext>
              </a:extLst>
            </xdr:cNvPr>
            <xdr:cNvSpPr txBox="1"/>
          </xdr:nvSpPr>
          <xdr:spPr>
            <a:xfrm>
              <a:off x="16408183" y="13251019"/>
              <a:ext cx="2792111" cy="303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𝐹𝐹=〖𝐹𝐹〗_0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1−𝐴)∙(1−𝑒^(−𝑒^((𝐵_1−𝐵_2/(𝑘_𝑏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226869</xdr:colOff>
      <xdr:row>19</xdr:row>
      <xdr:rowOff>694459</xdr:rowOff>
    </xdr:from>
    <xdr:ext cx="5758308" cy="3092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8DE8EB2-CCD3-58D2-5A5F-A653D09E8092}"/>
                </a:ext>
              </a:extLst>
            </xdr:cNvPr>
            <xdr:cNvSpPr txBox="1"/>
          </xdr:nvSpPr>
          <xdr:spPr>
            <a:xfrm>
              <a:off x="16969702" y="15849792"/>
              <a:ext cx="5758308" cy="309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8DE8EB2-CCD3-58D2-5A5F-A653D09E8092}"/>
                </a:ext>
              </a:extLst>
            </xdr:cNvPr>
            <xdr:cNvSpPr txBox="1"/>
          </xdr:nvSpPr>
          <xdr:spPr>
            <a:xfrm>
              <a:off x="16969702" y="15849792"/>
              <a:ext cx="5758308" cy="309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25016</xdr:colOff>
      <xdr:row>21</xdr:row>
      <xdr:rowOff>130848</xdr:rowOff>
    </xdr:from>
    <xdr:ext cx="3200555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2C0312E-F2D6-4C73-9AA1-FE0CCB2070D7}"/>
                </a:ext>
              </a:extLst>
            </xdr:cNvPr>
            <xdr:cNvSpPr txBox="1"/>
          </xdr:nvSpPr>
          <xdr:spPr>
            <a:xfrm>
              <a:off x="16767849" y="17191181"/>
              <a:ext cx="3200555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2C0312E-F2D6-4C73-9AA1-FE0CCB2070D7}"/>
                </a:ext>
              </a:extLst>
            </xdr:cNvPr>
            <xdr:cNvSpPr txBox="1"/>
          </xdr:nvSpPr>
          <xdr:spPr>
            <a:xfrm>
              <a:off x="16767849" y="17191181"/>
              <a:ext cx="3200555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482946</xdr:colOff>
      <xdr:row>23</xdr:row>
      <xdr:rowOff>439746</xdr:rowOff>
    </xdr:from>
    <xdr:ext cx="1230850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00E9CB7-D1A9-44E5-B7DD-A740D8E8584B}"/>
                </a:ext>
              </a:extLst>
            </xdr:cNvPr>
            <xdr:cNvSpPr txBox="1"/>
          </xdr:nvSpPr>
          <xdr:spPr>
            <a:xfrm>
              <a:off x="17225779" y="19786079"/>
              <a:ext cx="1230850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00E9CB7-D1A9-44E5-B7DD-A740D8E8584B}"/>
                </a:ext>
              </a:extLst>
            </xdr:cNvPr>
            <xdr:cNvSpPr txBox="1"/>
          </xdr:nvSpPr>
          <xdr:spPr>
            <a:xfrm>
              <a:off x="17225779" y="19786079"/>
              <a:ext cx="1230850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𝐺^𝑝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793750</xdr:colOff>
      <xdr:row>0</xdr:row>
      <xdr:rowOff>10583</xdr:rowOff>
    </xdr:from>
    <xdr:to>
      <xdr:col>5</xdr:col>
      <xdr:colOff>21167</xdr:colOff>
      <xdr:row>2</xdr:row>
      <xdr:rowOff>349250</xdr:rowOff>
    </xdr:to>
    <xdr:sp macro="[0]!DatabaseJSON" textlink="">
      <xdr:nvSpPr>
        <xdr:cNvPr id="17" name="Rectangle 16">
          <a:extLst>
            <a:ext uri="{FF2B5EF4-FFF2-40B4-BE49-F238E27FC236}">
              <a16:creationId xmlns:a16="http://schemas.microsoft.com/office/drawing/2014/main" id="{87104DD8-AD8D-8956-FBAA-B46142BB2C99}"/>
            </a:ext>
          </a:extLst>
        </xdr:cNvPr>
        <xdr:cNvSpPr/>
      </xdr:nvSpPr>
      <xdr:spPr>
        <a:xfrm>
          <a:off x="4180417" y="10583"/>
          <a:ext cx="1206500" cy="71966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Create JSON file</a:t>
          </a:r>
        </a:p>
      </xdr:txBody>
    </xdr:sp>
    <xdr:clientData/>
  </xdr:twoCellAnchor>
  <xdr:oneCellAnchor>
    <xdr:from>
      <xdr:col>13</xdr:col>
      <xdr:colOff>414866</xdr:colOff>
      <xdr:row>24</xdr:row>
      <xdr:rowOff>245533</xdr:rowOff>
    </xdr:from>
    <xdr:ext cx="1569853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19C258AB-C986-1CB1-37AB-D29015210F28}"/>
                </a:ext>
              </a:extLst>
            </xdr:cNvPr>
            <xdr:cNvSpPr txBox="1"/>
          </xdr:nvSpPr>
          <xdr:spPr>
            <a:xfrm>
              <a:off x="17157699" y="21306366"/>
              <a:ext cx="1569853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19C258AB-C986-1CB1-37AB-D29015210F28}"/>
                </a:ext>
              </a:extLst>
            </xdr:cNvPr>
            <xdr:cNvSpPr txBox="1"/>
          </xdr:nvSpPr>
          <xdr:spPr>
            <a:xfrm>
              <a:off x="17157699" y="21306366"/>
              <a:ext cx="1569853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𝑅_0∙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2692399</xdr:colOff>
      <xdr:row>31</xdr:row>
      <xdr:rowOff>410634</xdr:rowOff>
    </xdr:from>
    <xdr:ext cx="2488886" cy="1794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9BECA9B7-E16C-3667-6B48-22E88C85D3A5}"/>
                </a:ext>
              </a:extLst>
            </xdr:cNvPr>
            <xdr:cNvSpPr txBox="1"/>
          </xdr:nvSpPr>
          <xdr:spPr>
            <a:xfrm>
              <a:off x="17068799" y="26377901"/>
              <a:ext cx="2488886" cy="1794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𝐴𝑐𝑡𝑖𝑣𝑎𝑡𝑖𝑜𝑛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𝑆𝑝𝑒𝑐𝑡𝑟𝑢𝑚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9BECA9B7-E16C-3667-6B48-22E88C85D3A5}"/>
                </a:ext>
              </a:extLst>
            </xdr:cNvPr>
            <xdr:cNvSpPr txBox="1"/>
          </xdr:nvSpPr>
          <xdr:spPr>
            <a:xfrm>
              <a:off x="17068799" y="26377901"/>
              <a:ext cx="2488886" cy="1794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𝐴𝑐𝑡𝑖𝑣𝑎𝑡𝑖𝑜𝑛 𝑆𝑝𝑒𝑐𝑡𝑟𝑢𝑚=𝐸_𝐿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∙𝑅_0 〖∙𝑒〗^(−𝐵_𝑔∙𝐿)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440268</xdr:colOff>
      <xdr:row>33</xdr:row>
      <xdr:rowOff>800099</xdr:rowOff>
    </xdr:from>
    <xdr:ext cx="1478610" cy="2807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2B6AFE6-02D2-6CF9-155C-0223A1AF28A3}"/>
                </a:ext>
              </a:extLst>
            </xdr:cNvPr>
            <xdr:cNvSpPr txBox="1"/>
          </xdr:nvSpPr>
          <xdr:spPr>
            <a:xfrm>
              <a:off x="17602201" y="28790899"/>
              <a:ext cx="1478610" cy="2807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2B6AFE6-02D2-6CF9-155C-0223A1AF28A3}"/>
                </a:ext>
              </a:extLst>
            </xdr:cNvPr>
            <xdr:cNvSpPr txBox="1"/>
          </xdr:nvSpPr>
          <xdr:spPr>
            <a:xfrm>
              <a:off x="17602201" y="28790899"/>
              <a:ext cx="1478610" cy="2807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∙〖(𝑅𝐻)〗^𝑛∙𝑒^(𝐸_𝑎/(𝑘_𝑏∙𝑇_𝐾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152400</xdr:colOff>
      <xdr:row>10</xdr:row>
      <xdr:rowOff>152400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F5A1CDB3-5873-49A0-A5B6-D13C831D7CCD}"/>
                </a:ext>
              </a:extLst>
            </xdr:cNvPr>
            <xdr:cNvSpPr txBox="1"/>
          </xdr:nvSpPr>
          <xdr:spPr>
            <a:xfrm>
              <a:off x="16895233" y="62166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F5A1CDB3-5873-49A0-A5B6-D13C831D7CCD}"/>
                </a:ext>
              </a:extLst>
            </xdr:cNvPr>
            <xdr:cNvSpPr txBox="1"/>
          </xdr:nvSpPr>
          <xdr:spPr>
            <a:xfrm>
              <a:off x="16895233" y="62166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42334</xdr:colOff>
      <xdr:row>11</xdr:row>
      <xdr:rowOff>423334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5E732469-C65E-4D54-A5D1-37B88C182D93}"/>
                </a:ext>
              </a:extLst>
            </xdr:cNvPr>
            <xdr:cNvSpPr txBox="1"/>
          </xdr:nvSpPr>
          <xdr:spPr>
            <a:xfrm>
              <a:off x="16785167" y="7630584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5E732469-C65E-4D54-A5D1-37B88C182D93}"/>
                </a:ext>
              </a:extLst>
            </xdr:cNvPr>
            <xdr:cNvSpPr txBox="1"/>
          </xdr:nvSpPr>
          <xdr:spPr>
            <a:xfrm>
              <a:off x="16785167" y="7630584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13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29D8ED53-A4B3-49AA-9C7F-8217A0346FFB}"/>
                </a:ext>
              </a:extLst>
            </xdr:cNvPr>
            <xdr:cNvSpPr txBox="1"/>
          </xdr:nvSpPr>
          <xdr:spPr>
            <a:xfrm>
              <a:off x="16742833" y="91122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29D8ED53-A4B3-49AA-9C7F-8217A0346FFB}"/>
                </a:ext>
              </a:extLst>
            </xdr:cNvPr>
            <xdr:cNvSpPr txBox="1"/>
          </xdr:nvSpPr>
          <xdr:spPr>
            <a:xfrm>
              <a:off x="16742833" y="91122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14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ABF38A6-A542-47AE-8D90-785E2B42FE8D}"/>
                </a:ext>
              </a:extLst>
            </xdr:cNvPr>
            <xdr:cNvSpPr txBox="1"/>
          </xdr:nvSpPr>
          <xdr:spPr>
            <a:xfrm>
              <a:off x="16742833" y="983191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ABF38A6-A542-47AE-8D90-785E2B42FE8D}"/>
                </a:ext>
              </a:extLst>
            </xdr:cNvPr>
            <xdr:cNvSpPr txBox="1"/>
          </xdr:nvSpPr>
          <xdr:spPr>
            <a:xfrm>
              <a:off x="16742833" y="983191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15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821FB118-D698-4E13-8940-C20AF0DB1223}"/>
                </a:ext>
              </a:extLst>
            </xdr:cNvPr>
            <xdr:cNvSpPr txBox="1"/>
          </xdr:nvSpPr>
          <xdr:spPr>
            <a:xfrm>
              <a:off x="16742833" y="105727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821FB118-D698-4E13-8940-C20AF0DB1223}"/>
                </a:ext>
              </a:extLst>
            </xdr:cNvPr>
            <xdr:cNvSpPr txBox="1"/>
          </xdr:nvSpPr>
          <xdr:spPr>
            <a:xfrm>
              <a:off x="16742833" y="105727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16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A8463C4B-9AB0-4C6D-AFA7-8FE80B375889}"/>
                </a:ext>
              </a:extLst>
            </xdr:cNvPr>
            <xdr:cNvSpPr txBox="1"/>
          </xdr:nvSpPr>
          <xdr:spPr>
            <a:xfrm>
              <a:off x="16742833" y="11377083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A8463C4B-9AB0-4C6D-AFA7-8FE80B375889}"/>
                </a:ext>
              </a:extLst>
            </xdr:cNvPr>
            <xdr:cNvSpPr txBox="1"/>
          </xdr:nvSpPr>
          <xdr:spPr>
            <a:xfrm>
              <a:off x="16742833" y="11377083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518583</xdr:colOff>
      <xdr:row>32</xdr:row>
      <xdr:rowOff>275167</xdr:rowOff>
    </xdr:from>
    <xdr:ext cx="1390252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5F220530-E903-41D2-8055-0E42A3DAC043}"/>
                </a:ext>
              </a:extLst>
            </xdr:cNvPr>
            <xdr:cNvSpPr txBox="1"/>
          </xdr:nvSpPr>
          <xdr:spPr>
            <a:xfrm>
              <a:off x="17261416" y="30480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5F220530-E903-41D2-8055-0E42A3DAC043}"/>
                </a:ext>
              </a:extLst>
            </xdr:cNvPr>
            <xdr:cNvSpPr txBox="1"/>
          </xdr:nvSpPr>
          <xdr:spPr>
            <a:xfrm>
              <a:off x="17261416" y="30480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529167</xdr:colOff>
      <xdr:row>33</xdr:row>
      <xdr:rowOff>0</xdr:rowOff>
    </xdr:from>
    <xdr:ext cx="1390252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C24DB817-8CA8-403F-A365-18796CC8E2E8}"/>
                </a:ext>
              </a:extLst>
            </xdr:cNvPr>
            <xdr:cNvSpPr txBox="1"/>
          </xdr:nvSpPr>
          <xdr:spPr>
            <a:xfrm>
              <a:off x="17272000" y="31242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C24DB817-8CA8-403F-A365-18796CC8E2E8}"/>
                </a:ext>
              </a:extLst>
            </xdr:cNvPr>
            <xdr:cNvSpPr txBox="1"/>
          </xdr:nvSpPr>
          <xdr:spPr>
            <a:xfrm>
              <a:off x="17272000" y="31242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110067</xdr:colOff>
      <xdr:row>37</xdr:row>
      <xdr:rowOff>143934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20A5B64-9F52-482E-9E87-C9C54616F63C}"/>
                </a:ext>
              </a:extLst>
            </xdr:cNvPr>
            <xdr:cNvSpPr txBox="1"/>
          </xdr:nvSpPr>
          <xdr:spPr>
            <a:xfrm>
              <a:off x="17295495" y="3835612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20A5B64-9F52-482E-9E87-C9C54616F63C}"/>
                </a:ext>
              </a:extLst>
            </xdr:cNvPr>
            <xdr:cNvSpPr txBox="1"/>
          </xdr:nvSpPr>
          <xdr:spPr>
            <a:xfrm>
              <a:off x="17295495" y="3835612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152400</xdr:colOff>
      <xdr:row>1</xdr:row>
      <xdr:rowOff>0</xdr:rowOff>
    </xdr:from>
    <xdr:ext cx="1646413" cy="274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86FA78-FFE1-4AC9-8D9B-EE7A5B766BFC}"/>
                </a:ext>
              </a:extLst>
            </xdr:cNvPr>
            <xdr:cNvSpPr txBox="1"/>
          </xdr:nvSpPr>
          <xdr:spPr>
            <a:xfrm>
              <a:off x="9982200" y="190500"/>
              <a:ext cx="1646413" cy="274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"</m:t>
                        </m:r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Arrheniu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"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86FA78-FFE1-4AC9-8D9B-EE7A5B766BFC}"/>
                </a:ext>
              </a:extLst>
            </xdr:cNvPr>
            <xdr:cNvSpPr txBox="1"/>
          </xdr:nvSpPr>
          <xdr:spPr>
            <a:xfrm>
              <a:off x="9982200" y="190500"/>
              <a:ext cx="1646413" cy="274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〖"\"Arrheniu" 𝑠" 𝑅〗_𝐷=𝑅_𝑜 𝑒^(−𝐸𝑎/(𝑅𝑇_𝑘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66675</xdr:colOff>
      <xdr:row>3</xdr:row>
      <xdr:rowOff>19050</xdr:rowOff>
    </xdr:from>
    <xdr:ext cx="4305922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2E1E7EC-D708-45F8-8B29-76B13431A9ED}"/>
                </a:ext>
              </a:extLst>
            </xdr:cNvPr>
            <xdr:cNvSpPr txBox="1"/>
          </xdr:nvSpPr>
          <xdr:spPr>
            <a:xfrm>
              <a:off x="8477250" y="590550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𝑉𝑎𝑛𝑡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𝐻𝑜𝑓𝑓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𝑇𝑂𝑊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2E1E7EC-D708-45F8-8B29-76B13431A9ED}"/>
                </a:ext>
              </a:extLst>
            </xdr:cNvPr>
            <xdr:cNvSpPr txBox="1"/>
          </xdr:nvSpPr>
          <xdr:spPr>
            <a:xfrm>
              <a:off x="8477250" y="590550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</a:t>
              </a:r>
              <a:r>
                <a:rPr lang="en-US" sz="1100" i="0">
                  <a:latin typeface="Cambria Math" panose="02040503050406030204" pitchFamily="18" charset="0"/>
                </a:rPr>
                <a:t>𝑉𝑎𝑛𝑡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𝐻𝑜𝑓𝑓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𝑇𝑂𝑊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𝑆𝑐ℎ𝑤𝑎𝑟𝑧𝑐ℎ𝑖𝑙𝑑</a:t>
              </a:r>
              <a:r>
                <a:rPr lang="en-US" sz="1100" b="0" i="0">
                  <a:latin typeface="Cambria Math" panose="02040503050406030204" pitchFamily="18" charset="0"/>
                </a:rPr>
                <a:t>" 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403860</xdr:colOff>
      <xdr:row>6</xdr:row>
      <xdr:rowOff>32385</xdr:rowOff>
    </xdr:from>
    <xdr:ext cx="2599814" cy="3021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BBBE9A2-55E1-4478-8479-AED8D55E80CE}"/>
                </a:ext>
              </a:extLst>
            </xdr:cNvPr>
            <xdr:cNvSpPr txBox="1"/>
          </xdr:nvSpPr>
          <xdr:spPr>
            <a:xfrm>
              <a:off x="8814435" y="1175385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𝐴𝑟𝑟h𝑒𝑛𝑖𝑢𝑠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_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𝐵𝐸𝑇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" 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sub>
                          </m:sSub>
                        </m:num>
                        <m:den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</a:rPr>
                    <m:t>(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𝜀</m:t>
                      </m:r>
                    </m:den>
                  </m:f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BBBE9A2-55E1-4478-8479-AED8D55E80CE}"/>
                </a:ext>
              </a:extLst>
            </xdr:cNvPr>
            <xdr:cNvSpPr txBox="1"/>
          </xdr:nvSpPr>
          <xdr:spPr>
            <a:xfrm>
              <a:off x="8814435" y="1175385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:r>
                <a:rPr lang="en-US" sz="1100" b="0" i="0">
                  <a:latin typeface="Cambria Math" panose="02040503050406030204" pitchFamily="18" charset="0"/>
                </a:rPr>
                <a:t>〖𝐴𝑟𝑟ℎ𝑒𝑛𝑖𝑢𝑠_𝐵𝐸𝑇"  𝑅〗_𝐷=𝑅_0 𝑒^(−𝐸_𝑎/(𝑅𝑇_𝐾 )) (𝑅𝐻/(1−𝑅𝐻+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𝜀)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8</xdr:row>
      <xdr:rowOff>108585</xdr:rowOff>
    </xdr:from>
    <xdr:ext cx="4968240" cy="3026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8C674D-ED08-4B6D-B6C3-9E495433ADE6}"/>
                </a:ext>
              </a:extLst>
            </xdr:cNvPr>
            <xdr:cNvSpPr txBox="1"/>
          </xdr:nvSpPr>
          <xdr:spPr>
            <a:xfrm>
              <a:off x="8410575" y="1632585"/>
              <a:ext cx="4968240" cy="3026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Schwarzchild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RH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𝑘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8C674D-ED08-4B6D-B6C3-9E495433ADE6}"/>
                </a:ext>
              </a:extLst>
            </xdr:cNvPr>
            <xdr:cNvSpPr txBox="1"/>
          </xdr:nvSpPr>
          <xdr:spPr>
            <a:xfrm>
              <a:off x="8410575" y="1632585"/>
              <a:ext cx="4968240" cy="3026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"\"Arrhenius_Schwarzchild_RH"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𝑒^(−𝐸_𝐴/𝐾_(𝑏∙𝑇_𝑘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548640</xdr:colOff>
      <xdr:row>10</xdr:row>
      <xdr:rowOff>152400</xdr:rowOff>
    </xdr:from>
    <xdr:ext cx="2299989" cy="441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450FE4-BD32-44D6-9D31-31CBA795F452}"/>
                </a:ext>
              </a:extLst>
            </xdr:cNvPr>
            <xdr:cNvSpPr txBox="1"/>
          </xdr:nvSpPr>
          <xdr:spPr>
            <a:xfrm>
              <a:off x="8959215" y="2057400"/>
              <a:ext cx="2299989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𝐴𝑟𝑟h𝑒𝑛𝑖𝑢𝑠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𝑡𝑓𝑎𝑖𝑙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𝑅𝐻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𝑘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450FE4-BD32-44D6-9D31-31CBA795F452}"/>
                </a:ext>
              </a:extLst>
            </xdr:cNvPr>
            <xdr:cNvSpPr txBox="1"/>
          </xdr:nvSpPr>
          <xdr:spPr>
            <a:xfrm>
              <a:off x="8959215" y="2057400"/>
              <a:ext cx="2299989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"𝐴𝑟𝑟ℎ𝑒𝑛𝑖𝑢𝑠_𝑡𝑓𝑎𝑖𝑙_𝑅𝐻"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𝑡_𝑓𝑎𝑖𝑙=𝑒^(𝐸_𝑎/(𝑅∙𝑇_𝑘 ))/(𝐴∙〖𝑅𝐻〗^𝑛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527685</xdr:colOff>
      <xdr:row>14</xdr:row>
      <xdr:rowOff>118110</xdr:rowOff>
    </xdr:from>
    <xdr:ext cx="1330452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44AE98D-9633-4BF2-9414-7F47FE2DA509}"/>
                </a:ext>
              </a:extLst>
            </xdr:cNvPr>
            <xdr:cNvSpPr txBox="1"/>
          </xdr:nvSpPr>
          <xdr:spPr>
            <a:xfrm>
              <a:off x="8528685" y="278511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𝑊𝑃𝑂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𝑊𝑃𝑂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𝑂</m:t>
                              </m:r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.07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𝑊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𝐷𝑃𝑂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f>
                    <m:f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0.7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𝐷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h𝑢𝑚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h𝑢𝑚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𝑃</m:t>
                      </m:r>
                    </m:e>
                    <m:sub>
                      <m:sSub>
                        <m:sSub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550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0.7</m:t>
                      </m:r>
                    </m:sup>
                  </m:sSub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𝑡h𝑒𝑟𝑚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44AE98D-9633-4BF2-9414-7F47FE2DA509}"/>
                </a:ext>
              </a:extLst>
            </xdr:cNvPr>
            <xdr:cNvSpPr txBox="1"/>
          </xdr:nvSpPr>
          <xdr:spPr>
            <a:xfrm>
              <a:off x="8528685" y="278511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𝑒^(−𝐸_(𝑎,𝑊𝑃𝑂)/(𝑘_𝑏∗𝑇_𝑘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𝑅_(0,𝐷𝑃𝑂)∙𝑒^(−𝐸_(𝑎,𝐷𝑃𝑂)/(𝑘_𝑏∗𝑇_𝑘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𝑂)∙𝐺_550^0.7+𝑅_0∙𝑒^(−(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539115</xdr:colOff>
      <xdr:row>18</xdr:row>
      <xdr:rowOff>131445</xdr:rowOff>
    </xdr:from>
    <xdr:ext cx="3632213" cy="3584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BF5258E5-FD79-4E32-94DC-4863CEAFBD1E}"/>
                </a:ext>
              </a:extLst>
            </xdr:cNvPr>
            <xdr:cNvSpPr txBox="1"/>
          </xdr:nvSpPr>
          <xdr:spPr>
            <a:xfrm>
              <a:off x="9149715" y="3560445"/>
              <a:ext cx="3632213" cy="358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∙(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1−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𝑜</m:t>
                          </m:r>
                        </m:sub>
                      </m:sSub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𝑒</m:t>
                              </m:r>
                            </m:e>
                            <m:sup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𝐵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num>
                                <m:den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𝑘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𝑏</m:t>
                                      </m:r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𝑇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𝑅𝐻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)</m:t>
                              </m:r>
                            </m:sup>
                          </m:sSup>
                        </m:sup>
                      </m:sSup>
                    </m:e>
                  </m:d>
                </m:oMath>
              </a14:m>
              <a:r>
                <a:rPr lang="en-US" sz="1100"/>
                <a:t>)</a:t>
              </a: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BF5258E5-FD79-4E32-94DC-4863CEAFBD1E}"/>
                </a:ext>
              </a:extLst>
            </xdr:cNvPr>
            <xdr:cNvSpPr txBox="1"/>
          </xdr:nvSpPr>
          <xdr:spPr>
            <a:xfrm>
              <a:off x="9149715" y="3560445"/>
              <a:ext cx="3632213" cy="358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:r>
                <a:rPr lang="en-US" sz="1100" b="0" i="0">
                  <a:latin typeface="Cambria Math" panose="02040503050406030204" pitchFamily="18" charset="0"/>
                </a:rPr>
                <a:t>〖𝐹𝐹〗_𝑖𝑡=〖𝐹𝐹〗_𝑖0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1−𝐴_𝑖/𝐴_𝑜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(1−𝑒^(−𝑒^((𝐵_1−𝐵_2/𝑘_(𝑏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∙𝑇) 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r>
                <a:rPr lang="en-US" sz="1100"/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76200</xdr:colOff>
      <xdr:row>22</xdr:row>
      <xdr:rowOff>0</xdr:rowOff>
    </xdr:from>
    <xdr:ext cx="7105856" cy="3085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A75FD21A-F37B-4B54-9069-3CD186B9251B}"/>
                </a:ext>
              </a:extLst>
            </xdr:cNvPr>
            <xdr:cNvSpPr txBox="1"/>
          </xdr:nvSpPr>
          <xdr:spPr>
            <a:xfrm>
              <a:off x="9296400" y="41910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A75FD21A-F37B-4B54-9069-3CD186B9251B}"/>
                </a:ext>
              </a:extLst>
            </xdr:cNvPr>
            <xdr:cNvSpPr txBox="1"/>
          </xdr:nvSpPr>
          <xdr:spPr>
            <a:xfrm>
              <a:off x="9296400" y="41910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∙𝑇_𝑘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∙𝑒^(−𝐸_(𝑎,ℎ𝑦𝑑𝑟𝑜𝑙𝑦𝑠𝑖𝑠)/(𝑘_𝑏∙𝑇_𝑘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419100</xdr:colOff>
      <xdr:row>33</xdr:row>
      <xdr:rowOff>161925</xdr:rowOff>
    </xdr:from>
    <xdr:ext cx="2807628" cy="2787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219FC20-6E0D-4E66-BF13-24709B0B4D28}"/>
                </a:ext>
              </a:extLst>
            </xdr:cNvPr>
            <xdr:cNvSpPr txBox="1"/>
          </xdr:nvSpPr>
          <xdr:spPr>
            <a:xfrm>
              <a:off x="10658475" y="6448425"/>
              <a:ext cx="2807628" cy="2787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Modified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219FC20-6E0D-4E66-BF13-24709B0B4D28}"/>
                </a:ext>
              </a:extLst>
            </xdr:cNvPr>
            <xdr:cNvSpPr txBox="1"/>
          </xdr:nvSpPr>
          <xdr:spPr>
            <a:xfrm>
              <a:off x="10658475" y="6448425"/>
              <a:ext cx="2807628" cy="2787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"\"Modified_Arrhenius"_𝐺"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𝑅_𝐷=𝑅_0∙𝐺^𝑝∙𝑒^(𝐸_𝑎/(𝑘_𝑏∙𝑇_𝑘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539115</xdr:colOff>
      <xdr:row>24</xdr:row>
      <xdr:rowOff>125730</xdr:rowOff>
    </xdr:from>
    <xdr:ext cx="5229893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04B087C-37B6-4625-B6BA-308F104CAB4D}"/>
                </a:ext>
              </a:extLst>
            </xdr:cNvPr>
            <xdr:cNvSpPr txBox="1"/>
          </xdr:nvSpPr>
          <xdr:spPr>
            <a:xfrm>
              <a:off x="10168890" y="4697730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Coffin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Manson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Peck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04B087C-37B6-4625-B6BA-308F104CAB4D}"/>
                </a:ext>
              </a:extLst>
            </xdr:cNvPr>
            <xdr:cNvSpPr txBox="1"/>
          </xdr:nvSpPr>
          <xdr:spPr>
            <a:xfrm>
              <a:off x="10168890" y="4697730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"\"Arrhenius_Coffin_Manson_Peck"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419100</xdr:colOff>
      <xdr:row>31</xdr:row>
      <xdr:rowOff>47625</xdr:rowOff>
    </xdr:from>
    <xdr:ext cx="2885534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55C17B6-7E32-41A7-AA9E-1FD9E38B8576}"/>
                </a:ext>
              </a:extLst>
            </xdr:cNvPr>
            <xdr:cNvSpPr txBox="1"/>
          </xdr:nvSpPr>
          <xdr:spPr>
            <a:xfrm>
              <a:off x="10658475" y="5953125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G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DeltaT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55C17B6-7E32-41A7-AA9E-1FD9E38B8576}"/>
                </a:ext>
              </a:extLst>
            </xdr:cNvPr>
            <xdr:cNvSpPr txBox="1"/>
          </xdr:nvSpPr>
          <xdr:spPr>
            <a:xfrm>
              <a:off x="10658475" y="5953125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"\"Arrhenius_G_DeltaT"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542925</xdr:colOff>
      <xdr:row>1</xdr:row>
      <xdr:rowOff>102870</xdr:rowOff>
    </xdr:from>
    <xdr:ext cx="1659685" cy="272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2F382-0E23-4A4D-9EFB-A29BA7B73AF9}"/>
                </a:ext>
              </a:extLst>
            </xdr:cNvPr>
            <xdr:cNvSpPr txBox="1"/>
          </xdr:nvSpPr>
          <xdr:spPr>
            <a:xfrm>
              <a:off x="6029325" y="283845"/>
              <a:ext cx="165968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"</m:t>
                        </m:r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Arrheniu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"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2F382-0E23-4A4D-9EFB-A29BA7B73AF9}"/>
                </a:ext>
              </a:extLst>
            </xdr:cNvPr>
            <xdr:cNvSpPr txBox="1"/>
          </xdr:nvSpPr>
          <xdr:spPr>
            <a:xfrm>
              <a:off x="6029325" y="283845"/>
              <a:ext cx="165968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〖"\"Arrheniu" 𝑠" 𝑅〗_𝐷=𝑅_𝑜 𝑒^(−𝐸𝑎/(𝑅𝑇_𝐾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68580</xdr:colOff>
      <xdr:row>5</xdr:row>
      <xdr:rowOff>38100</xdr:rowOff>
    </xdr:from>
    <xdr:ext cx="4305922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418B1F-5AF9-48F7-A8C0-4DEACC9E1C18}"/>
                </a:ext>
              </a:extLst>
            </xdr:cNvPr>
            <xdr:cNvSpPr txBox="1"/>
          </xdr:nvSpPr>
          <xdr:spPr>
            <a:xfrm>
              <a:off x="68580" y="942975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𝑉𝑎𝑛𝑡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𝐻𝑜𝑓𝑓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𝑇𝑂𝑊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418B1F-5AF9-48F7-A8C0-4DEACC9E1C18}"/>
                </a:ext>
              </a:extLst>
            </xdr:cNvPr>
            <xdr:cNvSpPr txBox="1"/>
          </xdr:nvSpPr>
          <xdr:spPr>
            <a:xfrm>
              <a:off x="68580" y="942975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</a:t>
              </a:r>
              <a:r>
                <a:rPr lang="en-US" sz="1100" i="0">
                  <a:latin typeface="Cambria Math" panose="02040503050406030204" pitchFamily="18" charset="0"/>
                </a:rPr>
                <a:t>𝑉𝑎𝑛𝑡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𝐻𝑜𝑓𝑓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𝑇𝑂𝑊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𝑆𝑐ℎ𝑤𝑎𝑟𝑧𝑐ℎ𝑖𝑙𝑑</a:t>
              </a:r>
              <a:r>
                <a:rPr lang="en-US" sz="1100" b="0" i="0">
                  <a:latin typeface="Cambria Math" panose="02040503050406030204" pitchFamily="18" charset="0"/>
                </a:rPr>
                <a:t>" 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219075</xdr:colOff>
      <xdr:row>7</xdr:row>
      <xdr:rowOff>200025</xdr:rowOff>
    </xdr:from>
    <xdr:ext cx="2599814" cy="3021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8AA3948-5974-4FB3-A94E-5203466A8F8A}"/>
                </a:ext>
              </a:extLst>
            </xdr:cNvPr>
            <xdr:cNvSpPr txBox="1"/>
          </xdr:nvSpPr>
          <xdr:spPr>
            <a:xfrm>
              <a:off x="219075" y="1466850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𝐴𝑟𝑟h𝑒𝑛𝑖𝑢𝑠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_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𝐵𝐸𝑇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" 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sub>
                          </m:sSub>
                        </m:num>
                        <m:den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</a:rPr>
                    <m:t>(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𝜀</m:t>
                      </m:r>
                    </m:den>
                  </m:f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8AA3948-5974-4FB3-A94E-5203466A8F8A}"/>
                </a:ext>
              </a:extLst>
            </xdr:cNvPr>
            <xdr:cNvSpPr txBox="1"/>
          </xdr:nvSpPr>
          <xdr:spPr>
            <a:xfrm>
              <a:off x="219075" y="1466850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:r>
                <a:rPr lang="en-US" sz="1100" b="0" i="0">
                  <a:latin typeface="Cambria Math" panose="02040503050406030204" pitchFamily="18" charset="0"/>
                </a:rPr>
                <a:t>〖𝐴𝑟𝑟ℎ𝑒𝑛𝑖𝑢𝑠_𝐵𝐸𝑇"  𝑅〗_𝐷=𝑅_0 𝑒^(−𝐸_𝑎/(𝑅𝑇_𝐾 )) (𝑅𝐻/(1−𝑅𝐻+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𝜀)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85725</xdr:colOff>
      <xdr:row>1</xdr:row>
      <xdr:rowOff>47625</xdr:rowOff>
    </xdr:from>
    <xdr:ext cx="4968240" cy="2730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AD12656-3A78-4550-BCAA-6EA024506859}"/>
                </a:ext>
              </a:extLst>
            </xdr:cNvPr>
            <xdr:cNvSpPr txBox="1"/>
          </xdr:nvSpPr>
          <xdr:spPr>
            <a:xfrm>
              <a:off x="7400925" y="228600"/>
              <a:ext cx="4968240" cy="2730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Schwarzchild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RH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AD12656-3A78-4550-BCAA-6EA024506859}"/>
                </a:ext>
              </a:extLst>
            </xdr:cNvPr>
            <xdr:cNvSpPr txBox="1"/>
          </xdr:nvSpPr>
          <xdr:spPr>
            <a:xfrm>
              <a:off x="7400925" y="228600"/>
              <a:ext cx="4968240" cy="2730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"\"Arrhenius_Schwarzchild_RH"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𝑒^(−𝐸_𝐴/(𝑅𝑇_𝐾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171450</xdr:colOff>
      <xdr:row>8</xdr:row>
      <xdr:rowOff>7620</xdr:rowOff>
    </xdr:from>
    <xdr:ext cx="2323841" cy="4386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C651EB0-5B5A-4017-885E-A162F413D157}"/>
                </a:ext>
              </a:extLst>
            </xdr:cNvPr>
            <xdr:cNvSpPr txBox="1"/>
          </xdr:nvSpPr>
          <xdr:spPr>
            <a:xfrm>
              <a:off x="171450" y="1455420"/>
              <a:ext cx="2323841" cy="438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𝐴𝑟𝑟h𝑒𝑛𝑖𝑢𝑠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𝑡𝑓𝑎𝑖𝑙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𝑅𝐻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C651EB0-5B5A-4017-885E-A162F413D157}"/>
                </a:ext>
              </a:extLst>
            </xdr:cNvPr>
            <xdr:cNvSpPr txBox="1"/>
          </xdr:nvSpPr>
          <xdr:spPr>
            <a:xfrm>
              <a:off x="171450" y="1455420"/>
              <a:ext cx="2323841" cy="438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"𝐴𝑟𝑟ℎ𝑒𝑛𝑖𝑢𝑠_𝑡𝑓𝑎𝑖𝑙_𝑅𝐻"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𝑡_𝑓𝑎𝑖𝑙=𝑒^(𝐸_𝑎/(𝑅∙𝑇_𝐾 ))/(𝐴∙〖𝑅𝐻〗^𝑛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238125</xdr:colOff>
      <xdr:row>12</xdr:row>
      <xdr:rowOff>0</xdr:rowOff>
    </xdr:from>
    <xdr:ext cx="1330452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AB5A3F-5CB1-41E2-BEF4-A5E145D53EBD}"/>
                </a:ext>
              </a:extLst>
            </xdr:cNvPr>
            <xdr:cNvSpPr txBox="1"/>
          </xdr:nvSpPr>
          <xdr:spPr>
            <a:xfrm>
              <a:off x="238125" y="217170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𝑊𝑃𝑂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𝑊𝑃𝑂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𝑂</m:t>
                              </m:r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.07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𝑊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𝐷𝑃𝑂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f>
                    <m:f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0.7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𝐷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h𝑢𝑚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h𝑢𝑚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𝑃</m:t>
                      </m:r>
                    </m:e>
                    <m:sub>
                      <m:sSub>
                        <m:sSub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550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0.7</m:t>
                      </m:r>
                    </m:sup>
                  </m:sSub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𝑡h𝑒𝑟𝑚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AB5A3F-5CB1-41E2-BEF4-A5E145D53EBD}"/>
                </a:ext>
              </a:extLst>
            </xdr:cNvPr>
            <xdr:cNvSpPr txBox="1"/>
          </xdr:nvSpPr>
          <xdr:spPr>
            <a:xfrm>
              <a:off x="238125" y="217170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𝑒^(−𝐸_(𝑎,𝑊𝑃𝑂)/(𝑘_𝑏∗𝑇_𝑘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𝑅_(0,𝐷𝑃𝑂)∙𝑒^(−𝐸_(𝑎,𝐷𝑃𝑂)/(𝑘_𝑏∗𝑇_𝑘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𝑂)∙𝐺_550^0.7+𝑅_0∙𝑒^(−(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283845</xdr:colOff>
      <xdr:row>15</xdr:row>
      <xdr:rowOff>120015</xdr:rowOff>
    </xdr:from>
    <xdr:ext cx="3660810" cy="3533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4F0AFC-8D46-4775-9CB1-75B24EAC5AB9}"/>
                </a:ext>
              </a:extLst>
            </xdr:cNvPr>
            <xdr:cNvSpPr txBox="1"/>
          </xdr:nvSpPr>
          <xdr:spPr>
            <a:xfrm>
              <a:off x="283845" y="2834640"/>
              <a:ext cx="3660810" cy="3533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∙(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1−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𝑜</m:t>
                          </m:r>
                        </m:sub>
                      </m:sSub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𝑒</m:t>
                              </m:r>
                            </m:e>
                            <m:sup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𝐵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num>
                                <m:den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𝑅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𝑇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𝐾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𝑅𝐻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)</m:t>
                              </m:r>
                            </m:sup>
                          </m:sSup>
                        </m:sup>
                      </m:sSup>
                    </m:e>
                  </m:d>
                </m:oMath>
              </a14:m>
              <a:r>
                <a:rPr lang="en-US" sz="1100"/>
                <a:t>)</a:t>
              </a: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4F0AFC-8D46-4775-9CB1-75B24EAC5AB9}"/>
                </a:ext>
              </a:extLst>
            </xdr:cNvPr>
            <xdr:cNvSpPr txBox="1"/>
          </xdr:nvSpPr>
          <xdr:spPr>
            <a:xfrm>
              <a:off x="283845" y="2834640"/>
              <a:ext cx="3660810" cy="3533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:r>
                <a:rPr lang="en-US" sz="1100" b="0" i="0">
                  <a:latin typeface="Cambria Math" panose="02040503050406030204" pitchFamily="18" charset="0"/>
                </a:rPr>
                <a:t>〖𝐹𝐹〗_𝑖𝑡=〖𝐹𝐹〗_𝑖0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1−𝐴_𝑖/𝐴_𝑜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(1−𝑒^(−𝑒^((𝐵_1−𝐵_2/(𝑅𝑇_𝐾 )−𝐵_3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r>
                <a:rPr lang="en-US" sz="11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257175</xdr:colOff>
      <xdr:row>18</xdr:row>
      <xdr:rowOff>133350</xdr:rowOff>
    </xdr:from>
    <xdr:ext cx="7105856" cy="3085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E9B723C-F795-4C3D-8FDB-D1EE5C14684B}"/>
                </a:ext>
              </a:extLst>
            </xdr:cNvPr>
            <xdr:cNvSpPr txBox="1"/>
          </xdr:nvSpPr>
          <xdr:spPr>
            <a:xfrm>
              <a:off x="257175" y="33909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E9B723C-F795-4C3D-8FDB-D1EE5C14684B}"/>
                </a:ext>
              </a:extLst>
            </xdr:cNvPr>
            <xdr:cNvSpPr txBox="1"/>
          </xdr:nvSpPr>
          <xdr:spPr>
            <a:xfrm>
              <a:off x="257175" y="33909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24</xdr:col>
      <xdr:colOff>567690</xdr:colOff>
      <xdr:row>0</xdr:row>
      <xdr:rowOff>167640</xdr:rowOff>
    </xdr:from>
    <xdr:ext cx="3419206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DA3AD4AE-EEBF-444F-9E5E-81B996A441E3}"/>
                </a:ext>
              </a:extLst>
            </xdr:cNvPr>
            <xdr:cNvSpPr txBox="1"/>
          </xdr:nvSpPr>
          <xdr:spPr>
            <a:xfrm>
              <a:off x="15198090" y="167640"/>
              <a:ext cx="3419206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_340"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DA3AD4AE-EEBF-444F-9E5E-81B996A441E3}"/>
                </a:ext>
              </a:extLst>
            </xdr:cNvPr>
            <xdr:cNvSpPr txBox="1"/>
          </xdr:nvSpPr>
          <xdr:spPr>
            <a:xfrm>
              <a:off x="15198090" y="167640"/>
              <a:ext cx="3419206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"\"Arrhenius"_𝑆𝑐ℎ𝑤𝑎𝑟𝑧𝑐ℎ𝑖𝑙𝑑_340"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𝑅_𝐷=𝑅_0∙〖𝐺_340〗^𝑃∙𝑒^(𝐸_𝑎/(𝑅∙𝑇_𝐾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131445</xdr:colOff>
      <xdr:row>21</xdr:row>
      <xdr:rowOff>163830</xdr:rowOff>
    </xdr:from>
    <xdr:ext cx="5229893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69340F4-046C-4C76-A2BB-47A23D92C012}"/>
                </a:ext>
              </a:extLst>
            </xdr:cNvPr>
            <xdr:cNvSpPr txBox="1"/>
          </xdr:nvSpPr>
          <xdr:spPr>
            <a:xfrm>
              <a:off x="131445" y="3964305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Coffin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Manson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Peck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69340F4-046C-4C76-A2BB-47A23D92C012}"/>
                </a:ext>
              </a:extLst>
            </xdr:cNvPr>
            <xdr:cNvSpPr txBox="1"/>
          </xdr:nvSpPr>
          <xdr:spPr>
            <a:xfrm>
              <a:off x="131445" y="3964305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"\"Arrhenius_Coffin_Manson_Peck"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188595</xdr:colOff>
      <xdr:row>24</xdr:row>
      <xdr:rowOff>114300</xdr:rowOff>
    </xdr:from>
    <xdr:ext cx="2885534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AD5C543-59EE-42AF-A78D-903E706971E5}"/>
                </a:ext>
              </a:extLst>
            </xdr:cNvPr>
            <xdr:cNvSpPr txBox="1"/>
          </xdr:nvSpPr>
          <xdr:spPr>
            <a:xfrm>
              <a:off x="188595" y="4457700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G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DeltaT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AD5C543-59EE-42AF-A78D-903E706971E5}"/>
                </a:ext>
              </a:extLst>
            </xdr:cNvPr>
            <xdr:cNvSpPr txBox="1"/>
          </xdr:nvSpPr>
          <xdr:spPr>
            <a:xfrm>
              <a:off x="188595" y="4457700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"\"Arrhenius_G_DeltaT"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19</xdr:col>
      <xdr:colOff>516255</xdr:colOff>
      <xdr:row>0</xdr:row>
      <xdr:rowOff>135255</xdr:rowOff>
    </xdr:from>
    <xdr:ext cx="2909001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D9504F5-008B-4625-BE33-560EC4E7FB81}"/>
                </a:ext>
              </a:extLst>
            </xdr:cNvPr>
            <xdr:cNvSpPr txBox="1"/>
          </xdr:nvSpPr>
          <xdr:spPr>
            <a:xfrm>
              <a:off x="12098655" y="135255"/>
              <a:ext cx="2909001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D9504F5-008B-4625-BE33-560EC4E7FB81}"/>
                </a:ext>
              </a:extLst>
            </xdr:cNvPr>
            <xdr:cNvSpPr txBox="1"/>
          </xdr:nvSpPr>
          <xdr:spPr>
            <a:xfrm>
              <a:off x="12098655" y="135255"/>
              <a:ext cx="2909001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"\"Arrhenius"_𝑆𝑐ℎ𝑤𝑎𝑟𝑧𝑐ℎ𝑖𝑙𝑑"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𝑅_𝐷=𝑅_0∙𝐺^𝑃∙𝑒^(𝐸_𝑎/(𝑅∙𝑇_𝐾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316230</xdr:colOff>
      <xdr:row>0</xdr:row>
      <xdr:rowOff>64770</xdr:rowOff>
    </xdr:from>
    <xdr:to>
      <xdr:col>9</xdr:col>
      <xdr:colOff>596488</xdr:colOff>
      <xdr:row>2</xdr:row>
      <xdr:rowOff>131976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AE0BB9C4-4624-7845-7AF2-631DD1E83903}"/>
                </a:ext>
              </a:extLst>
            </xdr:cNvPr>
            <xdr:cNvSpPr/>
          </xdr:nvSpPr>
          <xdr:spPr>
            <a:xfrm>
              <a:off x="316230" y="64770"/>
              <a:ext cx="5766658" cy="429156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 b="0"/>
                <a:t>"</a:t>
              </a:r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𝐴𝑟𝑟h𝑒𝑛𝑖𝑢𝑠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" </m:t>
                  </m:r>
                  <m:r>
                    <a:rPr lang="en-US" sz="1400" i="1">
                      <a:latin typeface="Cambria Math" panose="02040503050406030204" pitchFamily="18" charset="0"/>
                    </a:rPr>
                    <m:t>𝐷</m:t>
                  </m:r>
                  <m:r>
                    <a:rPr lang="en-US" sz="1400">
                      <a:latin typeface="Cambria Math" panose="02040503050406030204" pitchFamily="18" charset="0"/>
                    </a:rPr>
                    <m:t>=</m:t>
                  </m:r>
                  <m:nary>
                    <m:naryPr>
                      <m:limLoc m:val="undOvr"/>
                      <m:ctrlPr>
                        <a:rPr lang="en-US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4"/>
                        </m:rPr>
                        <a:rPr lang="en-US" sz="1400" i="1">
                          <a:latin typeface="Cambria Math" panose="02040503050406030204" pitchFamily="18" charset="0"/>
                        </a:rPr>
                        <m:t>0</m:t>
                      </m:r>
                    </m:sub>
                    <m:sup>
                      <m:r>
                        <a:rPr lang="en-US" sz="1400" i="1">
                          <a:latin typeface="Cambria Math" panose="02040503050406030204" pitchFamily="18" charset="0"/>
                        </a:rPr>
                        <m:t>𝑡</m:t>
                      </m:r>
                    </m:sup>
                    <m:e>
                      <m:sSup>
                        <m:sSupPr>
                          <m:ctrlPr>
                            <a:rPr lang="en-US" sz="1400" i="1">
                              <a:solidFill>
                                <a:srgbClr val="00B0F0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i="1">
                              <a:solidFill>
                                <a:srgbClr val="00B0F0"/>
                              </a:solidFill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f>
                            <m:fPr>
                              <m:ctrlPr>
                                <a:rPr lang="en-US" sz="1400" i="1">
                                  <a:solidFill>
                                    <a:srgbClr val="00B0F0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b>
                                <m:sSubPr>
                                  <m:ctrlPr>
                                    <a:rPr lang="en-US" sz="1400" i="1">
                                      <a:solidFill>
                                        <a:srgbClr val="00B0F0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400">
                                      <a:solidFill>
                                        <a:srgbClr val="00B0F0"/>
                                      </a:solidFill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r>
                                    <a:rPr lang="en-US" sz="1400" i="1">
                                      <a:solidFill>
                                        <a:srgbClr val="00B0F0"/>
                                      </a:solidFill>
                                      <a:latin typeface="Cambria Math" panose="02040503050406030204" pitchFamily="18" charset="0"/>
                                    </a:rPr>
                                    <m:t>𝐸</m:t>
                                  </m:r>
                                </m:e>
                                <m:sub>
                                  <m:r>
                                    <a:rPr lang="en-US" sz="1400" i="1">
                                      <a:solidFill>
                                        <a:srgbClr val="00B0F0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sub>
                              </m:sSub>
                            </m:num>
                            <m:den>
                              <m:r>
                                <a:rPr lang="en-US" sz="1400" i="1">
                                  <a:solidFill>
                                    <a:srgbClr val="00B0F0"/>
                                  </a:solidFill>
                                  <a:latin typeface="Cambria Math" panose="02040503050406030204" pitchFamily="18" charset="0"/>
                                </a:rPr>
                                <m:t>𝑅𝑇</m:t>
                              </m:r>
                            </m:den>
                          </m:f>
                        </m:sup>
                      </m:sSup>
                      <m:r>
                        <a:rPr lang="en-US" sz="1400">
                          <a:solidFill>
                            <a:schemeClr val="bg2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∙</m:t>
                      </m:r>
                      <m:sSup>
                        <m:sSupPr>
                          <m:ctrlP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  <m:t>𝑅𝐻</m:t>
                          </m:r>
                          <m: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  <m:t>𝑡</m:t>
                          </m:r>
                          <m: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  <m:t>𝑛</m:t>
                          </m:r>
                        </m:sup>
                      </m:sSup>
                    </m:e>
                  </m:nary>
                  <m:nary>
                    <m:naryPr>
                      <m:limLoc m:val="undOvr"/>
                      <m:ctrlPr>
                        <a:rPr lang="en-US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a:rPr lang="en-US" sz="1400" i="1">
                          <a:latin typeface="Cambria Math" panose="02040503050406030204" pitchFamily="18" charset="0"/>
                        </a:rPr>
                        <m:t>𝜆</m:t>
                      </m:r>
                      <m:r>
                        <a:rPr lang="en-US" sz="14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1400" i="1">
                          <a:latin typeface="Cambria Math" panose="02040503050406030204" pitchFamily="18" charset="0"/>
                        </a:rPr>
                        <m:t>𝜆</m:t>
                      </m:r>
                      <m:r>
                        <a:rPr lang="en-US" sz="1400" i="1">
                          <a:latin typeface="Cambria Math" panose="02040503050406030204" pitchFamily="18" charset="0"/>
                        </a:rPr>
                        <m:t>=∞</m:t>
                      </m:r>
                    </m:sup>
                    <m:e>
                      <m:sSup>
                        <m:sSupPr>
                          <m:ctrlPr>
                            <a:rPr lang="en-US" sz="140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begChr m:val="["/>
                              <m:endChr m:val="]"/>
                              <m:ctrlPr>
                                <a:rPr lang="en-US" sz="140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sSup>
                                <m:sSupPr>
                                  <m:ctrlPr>
                                    <a:rPr lang="en-US" sz="1400" i="1">
                                      <a:solidFill>
                                        <a:schemeClr val="tx2">
                                          <a:lumMod val="75000"/>
                                        </a:schemeClr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sz="1400" i="1">
                                      <a:solidFill>
                                        <a:schemeClr val="tx2">
                                          <a:lumMod val="75000"/>
                                        </a:schemeClr>
                                      </a:solidFill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e>
                                <m:sup>
                                  <m:sSub>
                                    <m:sSubPr>
                                      <m:ctrlPr>
                                        <a:rPr lang="en-US" sz="1400" i="1">
                                          <a:solidFill>
                                            <a:schemeClr val="tx2">
                                              <a:lumMod val="75000"/>
                                            </a:schemeClr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400">
                                          <a:solidFill>
                                            <a:schemeClr val="tx2">
                                              <a:lumMod val="75000"/>
                                            </a:schemeClr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r>
                                        <a:rPr lang="en-US" sz="1400" i="1">
                                          <a:solidFill>
                                            <a:schemeClr val="tx2">
                                              <a:lumMod val="75000"/>
                                            </a:schemeClr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  <m:t>𝐶</m:t>
                                      </m:r>
                                    </m:e>
                                    <m:sub>
                                      <m:r>
                                        <a:rPr lang="en-US" sz="1400">
                                          <a:solidFill>
                                            <a:schemeClr val="tx2">
                                              <a:lumMod val="75000"/>
                                            </a:schemeClr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  <m:r>
                                    <a:rPr lang="en-US" sz="1400" i="1">
                                      <a:solidFill>
                                        <a:schemeClr val="tx2">
                                          <a:lumMod val="75000"/>
                                        </a:schemeClr>
                                      </a:solidFill>
                                      <a:latin typeface="Cambria Math" panose="02040503050406030204" pitchFamily="18" charset="0"/>
                                    </a:rPr>
                                    <m:t>𝜆</m:t>
                                  </m:r>
                                </m:sup>
                              </m:sSup>
                              <m:r>
                                <a:rPr lang="en-US" sz="1400">
                                  <a:solidFill>
                                    <a:schemeClr val="accent5"/>
                                  </a:solidFill>
                                  <a:latin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400" i="1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𝐺</m:t>
                              </m:r>
                            </m:e>
                          </m:d>
                        </m:e>
                        <m:sup>
                          <m:r>
                            <a:rPr lang="en-US" sz="1400" i="1">
                              <a:solidFill>
                                <a:srgbClr val="FF0000"/>
                              </a:solidFill>
                              <a:latin typeface="Cambria Math" panose="02040503050406030204" pitchFamily="18" charset="0"/>
                            </a:rPr>
                            <m:t>𝑥</m:t>
                          </m:r>
                        </m:sup>
                      </m:sSup>
                      <m:r>
                        <a:rPr lang="en-US" sz="1400" i="1">
                          <a:latin typeface="Cambria Math" panose="02040503050406030204" pitchFamily="18" charset="0"/>
                        </a:rPr>
                        <m:t>𝑑</m:t>
                      </m:r>
                      <m:r>
                        <a:rPr lang="en-US" sz="1400" i="1">
                          <a:latin typeface="Cambria Math" panose="02040503050406030204" pitchFamily="18" charset="0"/>
                        </a:rPr>
                        <m:t>𝜆</m:t>
                      </m:r>
                      <m:r>
                        <a:rPr lang="en-US" sz="1400" i="1">
                          <a:latin typeface="Cambria Math" panose="02040503050406030204" pitchFamily="18" charset="0"/>
                        </a:rPr>
                        <m:t>𝑑𝑡</m:t>
                      </m:r>
                    </m:e>
                  </m:nary>
                </m:oMath>
              </a14:m>
              <a:endParaRPr lang="en-US" sz="1400"/>
            </a:p>
          </xdr:txBody>
        </xdr:sp>
      </mc:Choice>
      <mc:Fallback xmlns=""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AE0BB9C4-4624-7845-7AF2-631DD1E83903}"/>
                </a:ext>
              </a:extLst>
            </xdr:cNvPr>
            <xdr:cNvSpPr/>
          </xdr:nvSpPr>
          <xdr:spPr>
            <a:xfrm>
              <a:off x="316230" y="64770"/>
              <a:ext cx="5766658" cy="429156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/>
                <a:t>"</a:t>
              </a:r>
              <a:r>
                <a:rPr lang="en-US" sz="1400" b="0" i="0">
                  <a:latin typeface="Cambria Math" panose="02040503050406030204" pitchFamily="18" charset="0"/>
                </a:rPr>
                <a:t>𝐴𝑟𝑟ℎ𝑒𝑛𝑖𝑢𝑠" </a:t>
              </a:r>
              <a:r>
                <a:rPr lang="en-US" sz="1400" i="0">
                  <a:latin typeface="Cambria Math" panose="02040503050406030204" pitchFamily="18" charset="0"/>
                </a:rPr>
                <a:t>𝐷=∫1_0^𝑡</a:t>
              </a:r>
              <a:r>
                <a:rPr lang="en-US" sz="1400" i="0">
                  <a:solidFill>
                    <a:schemeClr val="bg2">
                      <a:lumMod val="75000"/>
                    </a:schemeClr>
                  </a:solidFill>
                  <a:latin typeface="Cambria Math" panose="02040503050406030204" pitchFamily="18" charset="0"/>
                </a:rPr>
                <a:t>▒〖</a:t>
              </a:r>
              <a:r>
                <a:rPr lang="en-US" sz="1400" i="0">
                  <a:solidFill>
                    <a:srgbClr val="00B0F0"/>
                  </a:solidFill>
                  <a:latin typeface="Cambria Math" panose="02040503050406030204" pitchFamily="18" charset="0"/>
                </a:rPr>
                <a:t>𝑒^(〖−𝐸〗_𝑎/𝑅𝑇)</a:t>
              </a:r>
              <a:r>
                <a:rPr lang="en-US" sz="1400" i="0">
                  <a:solidFill>
                    <a:schemeClr val="bg2">
                      <a:lumMod val="75000"/>
                    </a:schemeClr>
                  </a:solidFill>
                  <a:latin typeface="Cambria Math" panose="02040503050406030204" pitchFamily="18" charset="0"/>
                </a:rPr>
                <a:t>∙〖𝑅𝐻(𝑡)〗^𝑛 〗 </a:t>
              </a:r>
              <a:r>
                <a:rPr lang="en-US" sz="1400" i="0">
                  <a:latin typeface="Cambria Math" panose="02040503050406030204" pitchFamily="18" charset="0"/>
                </a:rPr>
                <a:t>∫1_(𝜆=0)^(𝜆=∞)▒〖[</a:t>
              </a:r>
              <a:r>
                <a:rPr lang="en-US" sz="1400" i="0">
                  <a:solidFill>
                    <a:schemeClr val="tx2">
                      <a:lumMod val="75000"/>
                    </a:schemeClr>
                  </a:solidFill>
                  <a:latin typeface="Cambria Math" panose="02040503050406030204" pitchFamily="18" charset="0"/>
                </a:rPr>
                <a:t>𝑒^(〖−𝐶〗_2 𝜆)</a:t>
              </a:r>
              <a:r>
                <a:rPr lang="en-US" sz="1400" i="0">
                  <a:solidFill>
                    <a:schemeClr val="accent5"/>
                  </a:solidFill>
                  <a:latin typeface="Cambria Math" panose="02040503050406030204" pitchFamily="18" charset="0"/>
                </a:rPr>
                <a:t>∙</a:t>
              </a:r>
              <a:r>
                <a:rPr lang="en-US" sz="14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𝐺]^𝑥 </a:t>
              </a:r>
              <a:r>
                <a:rPr lang="en-US" sz="1400" i="0">
                  <a:latin typeface="Cambria Math" panose="02040503050406030204" pitchFamily="18" charset="0"/>
                </a:rPr>
                <a:t>𝑑𝜆𝑑𝑡〗</a:t>
              </a:r>
              <a:endParaRPr lang="en-US" sz="1400"/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kempe\AppData\Local\Microsoft\Windows\INetCache\Content.Outlook\O5B80H0T\Combined%20transient%20WVTR%20(002).xlsm" TargetMode="External"/><Relationship Id="rId1" Type="http://schemas.openxmlformats.org/officeDocument/2006/relationships/externalLinkPath" Target="/Users/mkempe/AppData/Local/Microsoft/Windows/INetCache/Content.Outlook/O5B80H0T/Combined%20transient%20WVTR%20(002)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U:\Transient%20OTR\Combined%20transient%20OTR.xlsm" TargetMode="External"/><Relationship Id="rId1" Type="http://schemas.openxmlformats.org/officeDocument/2006/relationships/externalLinkPath" Target="file:///U:\Transient%20OTR\Combined%20transient%20OT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D"/>
      <sheetName val="All S"/>
      <sheetName val="All WVTR"/>
      <sheetName val="All Permeability"/>
      <sheetName val="Clean WVTR"/>
      <sheetName val="Clean Permeability"/>
      <sheetName val="Clean S"/>
      <sheetName val="Clean D"/>
      <sheetName val="Fit Parameters"/>
      <sheetName val="Theoretical curves"/>
      <sheetName val="Fickian EAs vs D"/>
      <sheetName val="Fickian Activation Energy"/>
      <sheetName val="Fickian Activation Energy (2)"/>
      <sheetName val="Fickian Activation Energy (3)"/>
      <sheetName val="Fickian Activation Energy eV"/>
      <sheetName val="Fickian Activation Energy e (2)"/>
      <sheetName val="All Activation Energy"/>
      <sheetName val="AAA"/>
      <sheetName val="PV5200 PVB"/>
      <sheetName val="PV5300"/>
      <sheetName val="DNP 2777"/>
      <sheetName val="DNP PV-FS CVF2B"/>
      <sheetName val="Stevens TPU 301"/>
      <sheetName val="Stevens TPU"/>
      <sheetName val="Clear Aclar"/>
      <sheetName val="Viton Matte"/>
      <sheetName val="Viton Gloss"/>
      <sheetName val="VHB 5047"/>
      <sheetName val="Coveme"/>
      <sheetName val="VHB 5952"/>
      <sheetName val="BRP C"/>
      <sheetName val="BRP #10"/>
      <sheetName val="BRP#20"/>
      <sheetName val="C22"/>
      <sheetName val="C25"/>
      <sheetName val="C44"/>
      <sheetName val="C48"/>
      <sheetName val="C70"/>
      <sheetName val="C79"/>
      <sheetName val="Surlyn"/>
      <sheetName val="TPU"/>
      <sheetName val="ST504"/>
      <sheetName val="DC8130"/>
      <sheetName val="DC8100"/>
      <sheetName val="Kapton"/>
      <sheetName val="Black PVC"/>
      <sheetName val="Clear PVC"/>
      <sheetName val="Korad"/>
      <sheetName val="Tefzel"/>
      <sheetName val="PEN"/>
      <sheetName val="Mylar D"/>
      <sheetName val="Polycarbonate"/>
      <sheetName val="PVB"/>
      <sheetName val="DNP"/>
      <sheetName val="Vectran"/>
      <sheetName val="Tedlar"/>
      <sheetName val="Aclar"/>
      <sheetName val="EVA"/>
      <sheetName val="DC 184"/>
      <sheetName val="RTV615"/>
      <sheetName val="Selected D"/>
      <sheetName val="Arrenius EVA BRP"/>
      <sheetName val="All D (3)"/>
      <sheetName val="All S (3)"/>
      <sheetName val="Various D"/>
      <sheetName val="Various D (2)"/>
      <sheetName val="Various S"/>
      <sheetName val="Arrenius BRPs"/>
      <sheetName val="Various D (3)"/>
      <sheetName val="All S (2)"/>
      <sheetName val="All D (2)"/>
      <sheetName val="Clean WVTR (2)"/>
      <sheetName val="Clean Permeability (2)"/>
      <sheetName val="WVTR BRP"/>
      <sheetName val="Permeability BRP"/>
      <sheetName val="Clean D (2)"/>
      <sheetName val="Clean D (3)"/>
      <sheetName val="Clean D (4)"/>
      <sheetName val="Clean D (5)"/>
      <sheetName val="Clean S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9">
          <cell r="B29">
            <v>61.478142233056175</v>
          </cell>
          <cell r="C29">
            <v>25790.602026244887</v>
          </cell>
          <cell r="E29">
            <v>5.8875226348535286</v>
          </cell>
          <cell r="F29">
            <v>9.8224243541673688E-3</v>
          </cell>
          <cell r="H29">
            <v>67.365664867909715</v>
          </cell>
          <cell r="I29">
            <v>5559396276.609642</v>
          </cell>
        </row>
      </sheetData>
      <sheetData sheetId="18">
        <row r="22">
          <cell r="B22">
            <v>51.883090245714826</v>
          </cell>
          <cell r="C22">
            <v>84.513421127164364</v>
          </cell>
          <cell r="E22">
            <v>7.9599766949168522</v>
          </cell>
          <cell r="F22">
            <v>0.52048470062135055</v>
          </cell>
          <cell r="H22">
            <v>59.843066940631665</v>
          </cell>
          <cell r="I22">
            <v>380055824874.93164</v>
          </cell>
        </row>
      </sheetData>
      <sheetData sheetId="19">
        <row r="27">
          <cell r="B27">
            <v>55.6235810319235</v>
          </cell>
          <cell r="C27">
            <v>15.360903887522364</v>
          </cell>
          <cell r="E27">
            <v>19.5076706534681</v>
          </cell>
          <cell r="F27">
            <v>17.788936121593636</v>
          </cell>
          <cell r="H27">
            <v>75.131251685391589</v>
          </cell>
          <cell r="I27">
            <v>2360915752536.6377</v>
          </cell>
        </row>
      </sheetData>
      <sheetData sheetId="20">
        <row r="34">
          <cell r="B34">
            <v>52.930705489914352</v>
          </cell>
          <cell r="C34">
            <v>522.89028646045699</v>
          </cell>
          <cell r="E34">
            <v>24.556946183149307</v>
          </cell>
          <cell r="F34">
            <v>1.5596982700117279</v>
          </cell>
          <cell r="H34">
            <v>79.868129679092448</v>
          </cell>
          <cell r="I34">
            <v>15797483966534.52</v>
          </cell>
        </row>
      </sheetData>
      <sheetData sheetId="21">
        <row r="38">
          <cell r="B38">
            <v>47.071045463131497</v>
          </cell>
          <cell r="C38">
            <v>141.69956236216302</v>
          </cell>
          <cell r="E38">
            <v>32.959485564924115</v>
          </cell>
          <cell r="F38">
            <v>28.246464241345748</v>
          </cell>
          <cell r="H38">
            <v>80.030751142533347</v>
          </cell>
          <cell r="I38">
            <v>34584496473583.883</v>
          </cell>
        </row>
        <row r="44">
          <cell r="B44">
            <v>31.049390194303584</v>
          </cell>
          <cell r="C44">
            <v>0.38737501807126218</v>
          </cell>
          <cell r="E44">
            <v>37.15468353444296</v>
          </cell>
          <cell r="F44">
            <v>133.26717113526121</v>
          </cell>
          <cell r="H44">
            <v>68.204073728746536</v>
          </cell>
          <cell r="I44">
            <v>446034581223.79193</v>
          </cell>
        </row>
      </sheetData>
      <sheetData sheetId="22">
        <row r="23">
          <cell r="B23">
            <v>44.241435609498247</v>
          </cell>
          <cell r="C23">
            <v>4.3292826156376414</v>
          </cell>
          <cell r="E23">
            <v>9.9038411862253195</v>
          </cell>
          <cell r="F23">
            <v>0.93131293544045113</v>
          </cell>
          <cell r="H23">
            <v>54.145276795723568</v>
          </cell>
          <cell r="I23">
            <v>34835762025.683846</v>
          </cell>
        </row>
      </sheetData>
      <sheetData sheetId="23">
        <row r="20">
          <cell r="B20">
            <v>50.746332649641168</v>
          </cell>
          <cell r="C20">
            <v>74.774964898417522</v>
          </cell>
          <cell r="E20">
            <v>6.4389910276390623</v>
          </cell>
          <cell r="F20">
            <v>0.24981115452670641</v>
          </cell>
          <cell r="H20">
            <v>57.185323677280252</v>
          </cell>
          <cell r="I20">
            <v>161391919486.7612</v>
          </cell>
        </row>
      </sheetData>
      <sheetData sheetId="24">
        <row r="21">
          <cell r="B21">
            <v>96.538586544926616</v>
          </cell>
          <cell r="C21">
            <v>4172967.1442041355</v>
          </cell>
          <cell r="E21">
            <v>-12.382559815661125</v>
          </cell>
          <cell r="F21">
            <v>2.7596664527880973E-5</v>
          </cell>
          <cell r="H21">
            <v>84.156026729265378</v>
          </cell>
          <cell r="I21">
            <v>994982178508.98853</v>
          </cell>
        </row>
      </sheetData>
      <sheetData sheetId="25">
        <row r="27">
          <cell r="B27">
            <v>71.761688612047706</v>
          </cell>
          <cell r="C27">
            <v>45455.348640508615</v>
          </cell>
          <cell r="E27">
            <v>1.4820049925049505</v>
          </cell>
          <cell r="F27">
            <v>2.0914598240765161E-2</v>
          </cell>
          <cell r="H27">
            <v>73.243693604552661</v>
          </cell>
          <cell r="I27">
            <v>8213878264695.7578</v>
          </cell>
        </row>
      </sheetData>
      <sheetData sheetId="26">
        <row r="26">
          <cell r="B26">
            <v>56.246083470603246</v>
          </cell>
          <cell r="C26">
            <v>159.98270169828808</v>
          </cell>
          <cell r="E26">
            <v>20.806349638873765</v>
          </cell>
          <cell r="F26">
            <v>26.983493367701062</v>
          </cell>
          <cell r="H26">
            <v>77.052433109476993</v>
          </cell>
          <cell r="I26">
            <v>37297948350723.375</v>
          </cell>
        </row>
      </sheetData>
      <sheetData sheetId="27">
        <row r="24">
          <cell r="B24">
            <v>45.475252221919924</v>
          </cell>
          <cell r="C24">
            <v>9.4382760493347231</v>
          </cell>
          <cell r="E24">
            <v>9.112070593088692</v>
          </cell>
          <cell r="F24">
            <v>0.25069802638227373</v>
          </cell>
          <cell r="H24">
            <v>54.587322815008605</v>
          </cell>
          <cell r="I24">
            <v>20443598018.086681</v>
          </cell>
        </row>
      </sheetData>
      <sheetData sheetId="28">
        <row r="23">
          <cell r="D23">
            <v>47.519172112037843</v>
          </cell>
          <cell r="E23">
            <v>1.3188454120863595</v>
          </cell>
          <cell r="G23">
            <v>11.337790824728357</v>
          </cell>
          <cell r="H23">
            <v>0.53540550732342007</v>
          </cell>
          <cell r="J23">
            <v>58.856962936766173</v>
          </cell>
          <cell r="K23">
            <v>6100851717.5552225</v>
          </cell>
        </row>
      </sheetData>
      <sheetData sheetId="29">
        <row r="28">
          <cell r="B28">
            <v>40.475393230961025</v>
          </cell>
          <cell r="C28">
            <v>5.1509892107900486</v>
          </cell>
          <cell r="E28">
            <v>24.073906451765396</v>
          </cell>
          <cell r="F28">
            <v>53.274828409322787</v>
          </cell>
          <cell r="H28">
            <v>60.901412990104014</v>
          </cell>
          <cell r="I28">
            <v>568214581700.16455</v>
          </cell>
        </row>
      </sheetData>
      <sheetData sheetId="30">
        <row r="25">
          <cell r="J25">
            <v>70.242521549621571</v>
          </cell>
          <cell r="K25">
            <v>1172612706438.0886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26">
          <cell r="D26">
            <v>75.412172088128472</v>
          </cell>
          <cell r="E26">
            <v>154974.65864981848</v>
          </cell>
          <cell r="G26">
            <v>9.9931155345384255</v>
          </cell>
          <cell r="H26">
            <v>9.7728848933778076E-2</v>
          </cell>
          <cell r="J26">
            <v>85.405287622666918</v>
          </cell>
          <cell r="K26">
            <v>130857076832417.78</v>
          </cell>
        </row>
      </sheetData>
      <sheetData sheetId="40">
        <row r="19">
          <cell r="B19">
            <v>46.661959498086915</v>
          </cell>
          <cell r="C19">
            <v>40.519181381529037</v>
          </cell>
          <cell r="E19">
            <v>15.536513088053654</v>
          </cell>
          <cell r="F19">
            <v>7.3276987072226145</v>
          </cell>
          <cell r="H19">
            <v>62.198472586140561</v>
          </cell>
          <cell r="I19">
            <v>2565322730154.5654</v>
          </cell>
        </row>
      </sheetData>
      <sheetData sheetId="41">
        <row r="37">
          <cell r="B37">
            <v>49.198808858743789</v>
          </cell>
          <cell r="C37">
            <v>1.4313611614687722</v>
          </cell>
          <cell r="E37">
            <v>6.2076484430935208</v>
          </cell>
          <cell r="F37">
            <v>0.10669838185615245</v>
          </cell>
          <cell r="H37">
            <v>55.406457301837321</v>
          </cell>
          <cell r="I37">
            <v>1319534666.9031835</v>
          </cell>
        </row>
      </sheetData>
      <sheetData sheetId="42">
        <row r="26">
          <cell r="B26">
            <v>28.162344148796127</v>
          </cell>
          <cell r="C26">
            <v>0.22789761067596817</v>
          </cell>
          <cell r="E26">
            <v>33.167075004439695</v>
          </cell>
          <cell r="F26">
            <v>35.478289168601869</v>
          </cell>
          <cell r="H26">
            <v>61.329419153235818</v>
          </cell>
          <cell r="I26">
            <v>69858005751.896622</v>
          </cell>
        </row>
      </sheetData>
      <sheetData sheetId="43">
        <row r="23">
          <cell r="B23">
            <v>28.185270571325866</v>
          </cell>
          <cell r="C23">
            <v>0.25751975252214321</v>
          </cell>
          <cell r="E23">
            <v>39.486895573045757</v>
          </cell>
          <cell r="F23">
            <v>384.10938745948897</v>
          </cell>
          <cell r="H23">
            <v>67.672166144371616</v>
          </cell>
          <cell r="I23">
            <v>854632118015.99304</v>
          </cell>
        </row>
      </sheetData>
      <sheetData sheetId="44">
        <row r="20">
          <cell r="B20">
            <v>42.162827554493731</v>
          </cell>
          <cell r="C20">
            <v>7.2278801585472979E-2</v>
          </cell>
          <cell r="E20">
            <v>5.5710213873984192E-2</v>
          </cell>
          <cell r="F20">
            <v>4.7777359187367509E-2</v>
          </cell>
          <cell r="H20">
            <v>42.218537768367753</v>
          </cell>
          <cell r="I20">
            <v>29836427.889441453</v>
          </cell>
        </row>
      </sheetData>
      <sheetData sheetId="45">
        <row r="24">
          <cell r="B24">
            <v>47.71140596102741</v>
          </cell>
          <cell r="C24">
            <v>23.248926822160495</v>
          </cell>
          <cell r="E24">
            <v>28.487677226357029</v>
          </cell>
          <cell r="F24">
            <v>140.41794873492415</v>
          </cell>
          <cell r="H24">
            <v>76.199083187384446</v>
          </cell>
          <cell r="I24">
            <v>28205855550629.195</v>
          </cell>
        </row>
      </sheetData>
      <sheetData sheetId="46">
        <row r="21">
          <cell r="B21">
            <v>33.028689755718844</v>
          </cell>
          <cell r="C21">
            <v>0.11657610009133024</v>
          </cell>
          <cell r="E21">
            <v>32.993950558788171</v>
          </cell>
          <cell r="F21">
            <v>938.97727386374527</v>
          </cell>
          <cell r="H21">
            <v>66.022640314507001</v>
          </cell>
          <cell r="I21">
            <v>945754346834.70007</v>
          </cell>
        </row>
      </sheetData>
      <sheetData sheetId="47">
        <row r="25">
          <cell r="B25">
            <v>42.42240399098354</v>
          </cell>
          <cell r="C25">
            <v>0.95628884563207273</v>
          </cell>
          <cell r="E25">
            <v>10.652253728864931</v>
          </cell>
          <cell r="F25">
            <v>1.114994469801458</v>
          </cell>
          <cell r="H25">
            <v>105.22742596998002</v>
          </cell>
          <cell r="I25">
            <v>3.22132004614754E+18</v>
          </cell>
        </row>
      </sheetData>
      <sheetData sheetId="48">
        <row r="19">
          <cell r="B19">
            <v>33.754669172074927</v>
          </cell>
          <cell r="C19">
            <v>5.7576156969595199E-2</v>
          </cell>
          <cell r="E19">
            <v>25.93834881896203</v>
          </cell>
          <cell r="F19">
            <v>7.2771280818926742</v>
          </cell>
          <cell r="H19">
            <v>59.69301799103696</v>
          </cell>
          <cell r="I19">
            <v>3620065553.8349991</v>
          </cell>
        </row>
      </sheetData>
      <sheetData sheetId="49">
        <row r="22">
          <cell r="B22">
            <v>51.563674211570778</v>
          </cell>
          <cell r="C22">
            <v>0.99552969233774591</v>
          </cell>
          <cell r="E22">
            <v>5.6178949378191012</v>
          </cell>
          <cell r="F22">
            <v>8.1243691434489812E-2</v>
          </cell>
          <cell r="H22">
            <v>57.181569149389908</v>
          </cell>
          <cell r="I22">
            <v>698807581.67371202</v>
          </cell>
        </row>
      </sheetData>
      <sheetData sheetId="50">
        <row r="25">
          <cell r="B25">
            <v>47.321325114539746</v>
          </cell>
          <cell r="C25">
            <v>0.78900313456154914</v>
          </cell>
          <cell r="E25">
            <v>7.3237806981102569</v>
          </cell>
          <cell r="F25">
            <v>0.15720367168074798</v>
          </cell>
          <cell r="H25">
            <v>54.645105812650044</v>
          </cell>
          <cell r="I25">
            <v>1071655399.1868174</v>
          </cell>
        </row>
      </sheetData>
      <sheetData sheetId="51">
        <row r="20">
          <cell r="B20">
            <v>31.757067306682124</v>
          </cell>
          <cell r="C20">
            <v>1.7760209008119709E-2</v>
          </cell>
          <cell r="E20">
            <v>13.450388588631183</v>
          </cell>
          <cell r="F20">
            <v>1.2105737576291116</v>
          </cell>
          <cell r="H20">
            <v>45.207455895313295</v>
          </cell>
          <cell r="I20">
            <v>185760371.13325459</v>
          </cell>
        </row>
      </sheetData>
      <sheetData sheetId="52">
        <row r="28">
          <cell r="B28">
            <v>46.46496184785223</v>
          </cell>
          <cell r="C28">
            <v>11.348179731180986</v>
          </cell>
          <cell r="E28">
            <v>11.077737089065423</v>
          </cell>
          <cell r="F28">
            <v>2.4915641631322587</v>
          </cell>
          <cell r="H28">
            <v>57.542698936917702</v>
          </cell>
          <cell r="I28">
            <v>244293562958.35645</v>
          </cell>
        </row>
      </sheetData>
      <sheetData sheetId="53">
        <row r="20">
          <cell r="H20">
            <v>76.289572026033994</v>
          </cell>
          <cell r="I20">
            <v>6823263083472.1602</v>
          </cell>
        </row>
      </sheetData>
      <sheetData sheetId="54">
        <row r="20">
          <cell r="B20">
            <v>50.403918892528026</v>
          </cell>
          <cell r="C20">
            <v>0.2459422512827372</v>
          </cell>
          <cell r="E20">
            <v>5.4530156474820481</v>
          </cell>
          <cell r="F20">
            <v>1.1062254683295277E-2</v>
          </cell>
          <cell r="H20">
            <v>55.856934540010108</v>
          </cell>
          <cell r="I20">
            <v>23506639.094067916</v>
          </cell>
        </row>
      </sheetData>
      <sheetData sheetId="55">
        <row r="19">
          <cell r="B19">
            <v>58.715703891769969</v>
          </cell>
          <cell r="C19">
            <v>113.52556778591595</v>
          </cell>
          <cell r="E19">
            <v>11.771193238787168</v>
          </cell>
          <cell r="F19">
            <v>0.98337334744254568</v>
          </cell>
          <cell r="H19">
            <v>70.486897130557139</v>
          </cell>
          <cell r="I19">
            <v>964552472184.54114</v>
          </cell>
        </row>
      </sheetData>
      <sheetData sheetId="56">
        <row r="26">
          <cell r="B26">
            <v>79.511379114564235</v>
          </cell>
          <cell r="C26">
            <v>10210.165941895206</v>
          </cell>
          <cell r="E26">
            <v>7.8673890520555609</v>
          </cell>
          <cell r="F26">
            <v>4.3956396128076579E-2</v>
          </cell>
          <cell r="H26">
            <v>84.543636208474581</v>
          </cell>
          <cell r="I26">
            <v>1492039875944.9783</v>
          </cell>
        </row>
      </sheetData>
      <sheetData sheetId="57">
        <row r="36">
          <cell r="B36">
            <v>38.139966396438027</v>
          </cell>
          <cell r="C36">
            <v>2.310978816769659</v>
          </cell>
          <cell r="E36">
            <v>16.728622035107318</v>
          </cell>
          <cell r="F36">
            <v>1.8139070196748746</v>
          </cell>
          <cell r="H36">
            <v>55.157853271460873</v>
          </cell>
          <cell r="I36">
            <v>40728267519.368698</v>
          </cell>
        </row>
      </sheetData>
      <sheetData sheetId="58">
        <row r="21">
          <cell r="B21">
            <v>26.849140458942237</v>
          </cell>
          <cell r="C21">
            <v>0.34304048442365886</v>
          </cell>
          <cell r="E21">
            <v>11.177922518828932</v>
          </cell>
          <cell r="F21">
            <v>8.0455999469991712E-2</v>
          </cell>
          <cell r="H21">
            <v>38.027062977771187</v>
          </cell>
          <cell r="I21">
            <v>238461105.88491112</v>
          </cell>
        </row>
      </sheetData>
      <sheetData sheetId="59">
        <row r="34">
          <cell r="B34">
            <v>20.915578398399376</v>
          </cell>
          <cell r="C34">
            <v>6.9037584128524232E-2</v>
          </cell>
          <cell r="E34">
            <v>21.07567243605294</v>
          </cell>
          <cell r="F34">
            <v>1.7618538829579637</v>
          </cell>
          <cell r="H34">
            <v>41.769888545601482</v>
          </cell>
          <cell r="I34">
            <v>960496070.76154339</v>
          </cell>
        </row>
      </sheetData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D"/>
      <sheetName val="All S"/>
      <sheetName val="All OTR"/>
      <sheetName val="All Permeability"/>
      <sheetName val="Fit Parameters"/>
      <sheetName val="Fickian EAs vs D"/>
      <sheetName val="Fickian Activation Energy"/>
      <sheetName val="Fickian Activation Energy (2)"/>
      <sheetName val="Fickian Activation Energy eV"/>
      <sheetName val="Tedlar"/>
      <sheetName val="ST504"/>
      <sheetName val="EVA"/>
      <sheetName val="AAA"/>
      <sheetName val="Helioseal 101"/>
      <sheetName val="Helioseal 101 Wet"/>
      <sheetName val="LPO3"/>
      <sheetName val="Nagase"/>
      <sheetName val="Amerongen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>
        <row r="38">
          <cell r="B38">
            <v>30.483025230221454</v>
          </cell>
          <cell r="C38">
            <v>1.4210041301133386E-4</v>
          </cell>
          <cell r="E38">
            <v>-0.27226628971262712</v>
          </cell>
          <cell r="F38">
            <v>3.5940933500444193E-4</v>
          </cell>
          <cell r="H38">
            <v>30.210758940508811</v>
          </cell>
          <cell r="I38">
            <v>441.26393711840461</v>
          </cell>
        </row>
      </sheetData>
      <sheetData sheetId="10">
        <row r="59">
          <cell r="B59">
            <v>47.653428323622506</v>
          </cell>
          <cell r="C59">
            <v>0.56371093604645028</v>
          </cell>
          <cell r="E59">
            <v>-11.497500807479142</v>
          </cell>
          <cell r="F59">
            <v>8.2240098427554578E-7</v>
          </cell>
          <cell r="H59">
            <v>33.983993152858915</v>
          </cell>
          <cell r="I59">
            <v>1994.9517141645822</v>
          </cell>
        </row>
      </sheetData>
      <sheetData sheetId="11">
        <row r="28">
          <cell r="B28">
            <v>29.431120308060031</v>
          </cell>
          <cell r="C28">
            <v>0.12906167759557385</v>
          </cell>
          <cell r="E28">
            <v>32.313780596233869</v>
          </cell>
          <cell r="F28">
            <v>87.811427743406028</v>
          </cell>
          <cell r="H28">
            <v>61.744900904293914</v>
          </cell>
          <cell r="I28">
            <v>97917899126.053131</v>
          </cell>
        </row>
      </sheetData>
      <sheetData sheetId="12">
        <row r="38">
          <cell r="B38">
            <v>37.417785282154931</v>
          </cell>
          <cell r="C38">
            <v>24.108394360924397</v>
          </cell>
          <cell r="E38">
            <v>-0.9475664223135527</v>
          </cell>
          <cell r="F38">
            <v>7.8144509203605719E-6</v>
          </cell>
          <cell r="H38">
            <v>36.470218859841367</v>
          </cell>
          <cell r="I38">
            <v>1627722.9892984994</v>
          </cell>
        </row>
      </sheetData>
      <sheetData sheetId="13">
        <row r="35">
          <cell r="B35">
            <v>34.820138426303089</v>
          </cell>
          <cell r="C35">
            <v>6.368869681728169E-2</v>
          </cell>
          <cell r="E35">
            <v>-3.9953544345901313</v>
          </cell>
          <cell r="F35">
            <v>2.6198277753342291E-5</v>
          </cell>
          <cell r="H35">
            <v>30.824783991712998</v>
          </cell>
          <cell r="I35">
            <v>14416.135219879852</v>
          </cell>
        </row>
      </sheetData>
      <sheetData sheetId="14">
        <row r="34">
          <cell r="B34">
            <v>50.756029715286537</v>
          </cell>
          <cell r="C34">
            <v>37.242476087828379</v>
          </cell>
          <cell r="E34">
            <v>2.7344603605435021</v>
          </cell>
          <cell r="F34">
            <v>1.9019624010771955E-4</v>
          </cell>
          <cell r="H34">
            <v>53.490490075830053</v>
          </cell>
          <cell r="I34">
            <v>61200393.905145295</v>
          </cell>
        </row>
      </sheetData>
      <sheetData sheetId="15">
        <row r="35">
          <cell r="B35">
            <v>37.511316263941012</v>
          </cell>
          <cell r="C35">
            <v>0.11962051875829283</v>
          </cell>
          <cell r="E35">
            <v>-9.4287236154485061</v>
          </cell>
          <cell r="F35">
            <v>8.0651174575005325E-7</v>
          </cell>
          <cell r="H35">
            <v>28.082592648492501</v>
          </cell>
          <cell r="I35">
            <v>833.54705347343622</v>
          </cell>
        </row>
      </sheetData>
      <sheetData sheetId="16"/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Weston Wall" id="{E51DB267-27DF-4137-8BA8-42F9DE4E5355}" userId="S::wwall@nrel.gov::1cc0e1b7-ad09-4668-9a08-a1c1bd6682a1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3" dT="2023-05-15T19:05:08.44" personId="{E51DB267-27DF-4137-8BA8-42F9DE4E5355}" id="{570380BE-191F-4343-8FF5-ADB72866D7AB}">
    <text>Pan's Model, Piecewise model, or use cited papers?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cc02.safelinks.protection.outlook.com/?url=https%3A%2F%2Fwww.sympy.org%2Fen%2Ffeatures.html&amp;data=05%7C01%7CMichael.Kempe%40nrel.gov%7Cc9d733cbe06b4816b1ce08db256cc395%7Ca0f29d7e28cd4f5484427885aee7c080%7C0%7C0%7C638144921315085936%7CUnknown%7CTWFpbGZsb3d8eyJWIjoiMC4wLjAwMDAiLCJQIjoiV2luMzIiLCJBTiI6Ik1haWwiLCJXVCI6Mn0%3D%7C3000%7C%7C%7C&amp;sdata=2PKbCFgyHnIOQuLK03dw%2BHJidsQhTjoYfrFcEJEq4DI%3D&amp;reserved=0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1216-6FF8-4D43-A529-E07F4294B66B}">
  <sheetPr codeName="Sheet1"/>
  <dimension ref="A1:BO41"/>
  <sheetViews>
    <sheetView zoomScale="90" zoomScaleNormal="90" workbookViewId="0">
      <pane ySplit="3" topLeftCell="A34" activePane="bottomLeft" state="frozen"/>
      <selection activeCell="D1" sqref="D1"/>
      <selection pane="bottomLeft" activeCell="AT37" sqref="AT37"/>
    </sheetView>
  </sheetViews>
  <sheetFormatPr defaultRowHeight="14.4" x14ac:dyDescent="0.3"/>
  <cols>
    <col min="2" max="3" width="16.21875" customWidth="1"/>
    <col min="5" max="5" width="29.77734375" style="1" customWidth="1"/>
    <col min="6" max="6" width="33" style="1" customWidth="1"/>
    <col min="7" max="7" width="10.77734375" customWidth="1"/>
    <col min="8" max="8" width="15.21875" style="1" customWidth="1"/>
    <col min="9" max="9" width="13" style="1" customWidth="1"/>
    <col min="10" max="10" width="24.77734375" customWidth="1"/>
    <col min="11" max="11" width="19.44140625" customWidth="1"/>
    <col min="12" max="12" width="13.5546875" customWidth="1"/>
    <col min="13" max="13" width="40.5546875" style="7" customWidth="1"/>
    <col min="14" max="14" width="36.21875" customWidth="1"/>
    <col min="15" max="15" width="5.44140625" bestFit="1" customWidth="1"/>
    <col min="16" max="16" width="11.5546875" bestFit="1" customWidth="1"/>
    <col min="17" max="17" width="8.77734375" bestFit="1" customWidth="1"/>
    <col min="18" max="18" width="7.21875" bestFit="1" customWidth="1"/>
    <col min="19" max="19" width="8.21875" bestFit="1" customWidth="1"/>
    <col min="20" max="20" width="10.21875" bestFit="1" customWidth="1"/>
    <col min="21" max="22" width="8.21875" bestFit="1" customWidth="1"/>
    <col min="23" max="23" width="6.21875" customWidth="1"/>
    <col min="24" max="24" width="8.44140625" customWidth="1"/>
    <col min="25" max="27" width="10.77734375" customWidth="1"/>
    <col min="28" max="28" width="12.21875" customWidth="1"/>
    <col min="29" max="29" width="39.21875" customWidth="1"/>
    <col min="30" max="30" width="7" customWidth="1"/>
    <col min="31" max="31" width="8.5546875" customWidth="1"/>
    <col min="32" max="32" width="22.21875" customWidth="1"/>
    <col min="33" max="33" width="40.77734375" customWidth="1"/>
    <col min="36" max="36" width="22.21875" customWidth="1"/>
    <col min="37" max="37" width="38.77734375" customWidth="1"/>
    <col min="40" max="40" width="12.21875" customWidth="1"/>
    <col min="42" max="42" width="11.77734375" customWidth="1"/>
    <col min="43" max="43" width="11.21875" customWidth="1"/>
    <col min="45" max="45" width="12.21875" customWidth="1"/>
    <col min="57" max="57" width="8.21875" customWidth="1"/>
    <col min="67" max="67" width="36.21875" customWidth="1"/>
  </cols>
  <sheetData>
    <row r="1" spans="1:67" x14ac:dyDescent="0.3">
      <c r="B1" t="s">
        <v>200</v>
      </c>
      <c r="C1" t="s">
        <v>201</v>
      </c>
      <c r="D1" t="s">
        <v>202</v>
      </c>
      <c r="E1" s="1" t="s">
        <v>203</v>
      </c>
      <c r="F1" s="1" t="s">
        <v>3</v>
      </c>
      <c r="G1" t="s">
        <v>4</v>
      </c>
      <c r="H1" s="1" t="s">
        <v>204</v>
      </c>
      <c r="I1" s="1" t="s">
        <v>80</v>
      </c>
      <c r="J1" s="1" t="s">
        <v>63</v>
      </c>
      <c r="K1" s="1" t="s">
        <v>77</v>
      </c>
      <c r="L1" s="1" t="s">
        <v>205</v>
      </c>
      <c r="M1" s="1" t="s">
        <v>206</v>
      </c>
    </row>
    <row r="2" spans="1:67" x14ac:dyDescent="0.3">
      <c r="M2"/>
      <c r="O2" s="64" t="s">
        <v>10</v>
      </c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 t="s">
        <v>12</v>
      </c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 t="s">
        <v>6</v>
      </c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 t="s">
        <v>7</v>
      </c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3" t="s">
        <v>15</v>
      </c>
    </row>
    <row r="3" spans="1:67" s="1" customFormat="1" ht="28.8" x14ac:dyDescent="0.3">
      <c r="A3" s="1" t="s">
        <v>211</v>
      </c>
      <c r="B3" s="1" t="s">
        <v>0</v>
      </c>
      <c r="C3" s="1" t="s">
        <v>114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52</v>
      </c>
      <c r="I3" s="1" t="s">
        <v>80</v>
      </c>
      <c r="J3" s="1" t="s">
        <v>155</v>
      </c>
      <c r="K3" s="1" t="s">
        <v>77</v>
      </c>
      <c r="L3" s="1" t="s">
        <v>5</v>
      </c>
      <c r="M3" s="1" t="s">
        <v>9</v>
      </c>
      <c r="N3" s="1" t="s">
        <v>53</v>
      </c>
      <c r="O3" s="1">
        <v>1</v>
      </c>
      <c r="P3" s="1">
        <v>2</v>
      </c>
      <c r="Q3" s="1">
        <v>3</v>
      </c>
      <c r="R3" s="1">
        <v>4</v>
      </c>
      <c r="S3" s="1">
        <v>5</v>
      </c>
      <c r="T3" s="1">
        <v>6</v>
      </c>
      <c r="U3" s="1">
        <v>7</v>
      </c>
      <c r="V3" s="1">
        <v>8</v>
      </c>
      <c r="W3" s="1">
        <v>9</v>
      </c>
      <c r="X3" s="1">
        <v>10</v>
      </c>
      <c r="Y3" s="1">
        <v>11</v>
      </c>
      <c r="Z3" s="1">
        <v>12</v>
      </c>
      <c r="AA3" s="1">
        <v>13</v>
      </c>
      <c r="AB3" s="1">
        <v>1</v>
      </c>
      <c r="AC3" s="1">
        <v>2</v>
      </c>
      <c r="AD3" s="1">
        <v>3</v>
      </c>
      <c r="AE3" s="1">
        <v>4</v>
      </c>
      <c r="AF3" s="1">
        <v>5</v>
      </c>
      <c r="AG3" s="1">
        <v>6</v>
      </c>
      <c r="AH3" s="1">
        <v>7</v>
      </c>
      <c r="AI3" s="1">
        <v>8</v>
      </c>
      <c r="AJ3" s="1">
        <v>9</v>
      </c>
      <c r="AK3" s="1">
        <v>10</v>
      </c>
      <c r="AL3" s="1">
        <v>11</v>
      </c>
      <c r="AM3" s="1">
        <v>12</v>
      </c>
      <c r="AN3" s="1">
        <v>13</v>
      </c>
      <c r="AO3" s="1">
        <v>1</v>
      </c>
      <c r="AP3" s="1">
        <v>2</v>
      </c>
      <c r="AQ3" s="1">
        <v>3</v>
      </c>
      <c r="AR3" s="1">
        <v>4</v>
      </c>
      <c r="AS3" s="1">
        <v>5</v>
      </c>
      <c r="AT3" s="1">
        <v>6</v>
      </c>
      <c r="AU3" s="1">
        <v>7</v>
      </c>
      <c r="AV3" s="1">
        <v>8</v>
      </c>
      <c r="AW3" s="1">
        <v>9</v>
      </c>
      <c r="AX3" s="1">
        <v>10</v>
      </c>
      <c r="AY3" s="1">
        <v>11</v>
      </c>
      <c r="AZ3" s="1">
        <v>12</v>
      </c>
      <c r="BA3" s="1">
        <v>13</v>
      </c>
      <c r="BB3" s="1">
        <v>1</v>
      </c>
      <c r="BC3" s="1">
        <v>2</v>
      </c>
      <c r="BD3" s="1">
        <v>3</v>
      </c>
      <c r="BE3" s="1">
        <v>4</v>
      </c>
      <c r="BF3" s="1">
        <v>5</v>
      </c>
      <c r="BG3" s="1">
        <v>6</v>
      </c>
      <c r="BH3" s="1">
        <v>7</v>
      </c>
      <c r="BI3" s="1">
        <v>8</v>
      </c>
      <c r="BJ3" s="1">
        <v>9</v>
      </c>
      <c r="BK3" s="1">
        <v>10</v>
      </c>
      <c r="BL3" s="1">
        <v>11</v>
      </c>
      <c r="BM3" s="1">
        <v>12</v>
      </c>
      <c r="BN3" s="1">
        <v>13</v>
      </c>
      <c r="BO3" s="63"/>
    </row>
    <row r="4" spans="1:67" ht="21" customHeight="1" x14ac:dyDescent="0.3">
      <c r="A4" t="s">
        <v>223</v>
      </c>
      <c r="B4" t="s">
        <v>51</v>
      </c>
      <c r="D4" s="19"/>
      <c r="L4" t="s">
        <v>8</v>
      </c>
      <c r="M4" s="7" t="s">
        <v>474</v>
      </c>
      <c r="O4" t="s">
        <v>11</v>
      </c>
      <c r="P4" t="s">
        <v>78</v>
      </c>
      <c r="Q4" t="s">
        <v>79</v>
      </c>
      <c r="AB4" t="s">
        <v>13</v>
      </c>
      <c r="AC4" t="s">
        <v>13</v>
      </c>
      <c r="AD4" t="s">
        <v>14</v>
      </c>
    </row>
    <row r="5" spans="1:67" s="3" customFormat="1" ht="74.25" customHeight="1" x14ac:dyDescent="0.3">
      <c r="A5" t="s">
        <v>224</v>
      </c>
      <c r="B5" s="3" t="s">
        <v>16</v>
      </c>
      <c r="D5" s="20"/>
      <c r="E5" s="3" t="s">
        <v>207</v>
      </c>
      <c r="F5" s="3" t="s">
        <v>17</v>
      </c>
      <c r="G5" s="3" t="s">
        <v>43</v>
      </c>
      <c r="H5" s="3" t="s">
        <v>93</v>
      </c>
      <c r="I5" s="3" t="s">
        <v>86</v>
      </c>
      <c r="L5" s="3" t="s">
        <v>31</v>
      </c>
      <c r="M5" s="4" t="s">
        <v>475</v>
      </c>
      <c r="O5" s="3" t="s">
        <v>11</v>
      </c>
      <c r="P5" s="7" t="s">
        <v>78</v>
      </c>
      <c r="Q5" s="3" t="s">
        <v>18</v>
      </c>
      <c r="R5" s="3" t="s">
        <v>19</v>
      </c>
      <c r="S5" s="3" t="s">
        <v>21</v>
      </c>
      <c r="T5" s="3" t="s">
        <v>20</v>
      </c>
      <c r="AB5" s="4"/>
      <c r="AC5" s="3" t="s">
        <v>13</v>
      </c>
      <c r="AQ5" s="3">
        <v>0.64</v>
      </c>
      <c r="AR5" s="3">
        <v>1.07</v>
      </c>
      <c r="AS5" s="5">
        <v>-2.8E-5</v>
      </c>
      <c r="AT5" s="3">
        <v>1.41</v>
      </c>
      <c r="BD5" s="3">
        <v>0.64</v>
      </c>
      <c r="BE5" s="3">
        <v>0.11</v>
      </c>
      <c r="BF5" s="5">
        <v>4.88E-5</v>
      </c>
      <c r="BG5" s="3">
        <v>0.23</v>
      </c>
    </row>
    <row r="6" spans="1:67" s="3" customFormat="1" ht="47.25" customHeight="1" x14ac:dyDescent="0.3">
      <c r="A6" t="s">
        <v>225</v>
      </c>
      <c r="B6" s="3" t="s">
        <v>16</v>
      </c>
      <c r="D6" s="3" t="s">
        <v>36</v>
      </c>
      <c r="E6" s="3" t="s">
        <v>37</v>
      </c>
      <c r="F6" s="3" t="s">
        <v>38</v>
      </c>
      <c r="G6" s="3" t="s">
        <v>91</v>
      </c>
      <c r="H6" s="3" t="s">
        <v>92</v>
      </c>
      <c r="I6" s="3" t="s">
        <v>87</v>
      </c>
      <c r="J6" s="3" t="s">
        <v>40</v>
      </c>
      <c r="L6" s="3" t="s">
        <v>39</v>
      </c>
      <c r="M6" s="3" t="s">
        <v>476</v>
      </c>
      <c r="O6" s="3" t="s">
        <v>11</v>
      </c>
      <c r="P6" s="7" t="s">
        <v>78</v>
      </c>
      <c r="Q6" s="3" t="s">
        <v>79</v>
      </c>
      <c r="R6" s="3" t="s">
        <v>158</v>
      </c>
      <c r="AB6" s="3" t="s">
        <v>13</v>
      </c>
      <c r="AC6" s="3" t="s">
        <v>13</v>
      </c>
      <c r="AD6" s="3" t="s">
        <v>14</v>
      </c>
      <c r="AP6" s="5">
        <v>845000000</v>
      </c>
      <c r="AQ6" s="3">
        <v>33.472000000000001</v>
      </c>
      <c r="AR6" s="3">
        <v>0.04</v>
      </c>
    </row>
    <row r="7" spans="1:67" s="3" customFormat="1" ht="47.25" customHeight="1" x14ac:dyDescent="0.3">
      <c r="A7" t="s">
        <v>226</v>
      </c>
      <c r="B7" s="3" t="s">
        <v>16</v>
      </c>
      <c r="D7" s="3" t="s">
        <v>44</v>
      </c>
      <c r="E7" s="3" t="s">
        <v>37</v>
      </c>
      <c r="F7" s="3" t="s">
        <v>38</v>
      </c>
      <c r="G7" s="3" t="s">
        <v>91</v>
      </c>
      <c r="H7" s="3" t="s">
        <v>92</v>
      </c>
      <c r="I7" s="3" t="s">
        <v>87</v>
      </c>
      <c r="J7" s="3" t="s">
        <v>41</v>
      </c>
      <c r="L7" s="3" t="s">
        <v>46</v>
      </c>
      <c r="M7" s="3" t="s">
        <v>476</v>
      </c>
      <c r="O7" s="3" t="s">
        <v>11</v>
      </c>
      <c r="P7" s="7" t="s">
        <v>78</v>
      </c>
      <c r="Q7" s="3" t="s">
        <v>79</v>
      </c>
      <c r="R7" s="3" t="s">
        <v>158</v>
      </c>
      <c r="AB7" s="3" t="s">
        <v>13</v>
      </c>
      <c r="AC7" s="3" t="s">
        <v>13</v>
      </c>
      <c r="AD7" s="3" t="s">
        <v>14</v>
      </c>
      <c r="AP7" s="5">
        <v>73000000000000</v>
      </c>
      <c r="AQ7" s="3">
        <v>67.362399999999994</v>
      </c>
      <c r="AR7" s="3">
        <v>0.04</v>
      </c>
    </row>
    <row r="8" spans="1:67" s="3" customFormat="1" ht="47.25" customHeight="1" x14ac:dyDescent="0.3">
      <c r="A8" t="s">
        <v>227</v>
      </c>
      <c r="B8" s="3" t="s">
        <v>16</v>
      </c>
      <c r="D8" s="3" t="s">
        <v>45</v>
      </c>
      <c r="E8" s="3" t="s">
        <v>37</v>
      </c>
      <c r="F8" s="3" t="s">
        <v>38</v>
      </c>
      <c r="G8" s="3" t="s">
        <v>91</v>
      </c>
      <c r="H8" s="3" t="s">
        <v>92</v>
      </c>
      <c r="I8" s="3" t="s">
        <v>87</v>
      </c>
      <c r="J8" s="3" t="s">
        <v>42</v>
      </c>
      <c r="L8" s="3" t="s">
        <v>47</v>
      </c>
      <c r="M8" s="3" t="s">
        <v>477</v>
      </c>
      <c r="O8" s="3" t="s">
        <v>11</v>
      </c>
      <c r="P8" s="7" t="s">
        <v>78</v>
      </c>
      <c r="Q8" s="3" t="s">
        <v>79</v>
      </c>
      <c r="R8" s="3" t="s">
        <v>158</v>
      </c>
      <c r="AB8" s="3" t="s">
        <v>13</v>
      </c>
      <c r="AC8" s="3" t="s">
        <v>13</v>
      </c>
      <c r="AD8" s="3" t="s">
        <v>14</v>
      </c>
      <c r="AP8" s="5">
        <v>1.1E+17</v>
      </c>
      <c r="AQ8" s="3">
        <v>78.659199999999998</v>
      </c>
      <c r="AR8" s="3">
        <v>0.04</v>
      </c>
    </row>
    <row r="9" spans="1:67" ht="72" x14ac:dyDescent="0.3">
      <c r="A9" t="s">
        <v>228</v>
      </c>
      <c r="B9" s="3" t="s">
        <v>16</v>
      </c>
      <c r="C9" s="3"/>
      <c r="D9" s="8" t="s">
        <v>89</v>
      </c>
      <c r="E9" s="1" t="s">
        <v>66</v>
      </c>
      <c r="F9" s="6" t="s">
        <v>67</v>
      </c>
      <c r="G9" s="7" t="s">
        <v>88</v>
      </c>
      <c r="H9" s="3" t="s">
        <v>112</v>
      </c>
      <c r="I9" s="3" t="s">
        <v>68</v>
      </c>
      <c r="J9" s="3" t="s">
        <v>69</v>
      </c>
      <c r="L9" s="3" t="s">
        <v>70</v>
      </c>
      <c r="M9" s="7" t="s">
        <v>478</v>
      </c>
      <c r="O9" s="3" t="s">
        <v>11</v>
      </c>
      <c r="P9" s="7" t="s">
        <v>78</v>
      </c>
      <c r="Q9" s="7" t="s">
        <v>79</v>
      </c>
      <c r="R9" s="3" t="s">
        <v>71</v>
      </c>
      <c r="S9" s="3" t="s">
        <v>72</v>
      </c>
      <c r="AB9" s="3" t="s">
        <v>13</v>
      </c>
      <c r="AC9" s="4" t="s">
        <v>13</v>
      </c>
      <c r="AD9" s="3" t="s">
        <v>14</v>
      </c>
      <c r="AQ9" s="3">
        <v>35.299999999999997</v>
      </c>
      <c r="AS9">
        <v>0.37</v>
      </c>
      <c r="BD9">
        <v>8.9</v>
      </c>
      <c r="BF9">
        <v>0.26</v>
      </c>
    </row>
    <row r="10" spans="1:67" ht="72" x14ac:dyDescent="0.3">
      <c r="A10" t="s">
        <v>229</v>
      </c>
      <c r="B10" s="3" t="s">
        <v>16</v>
      </c>
      <c r="C10" s="3"/>
      <c r="D10" s="8" t="s">
        <v>89</v>
      </c>
      <c r="E10" s="1" t="s">
        <v>66</v>
      </c>
      <c r="F10" s="6" t="s">
        <v>67</v>
      </c>
      <c r="G10" s="7" t="s">
        <v>88</v>
      </c>
      <c r="H10" s="3" t="s">
        <v>90</v>
      </c>
      <c r="I10" s="3" t="s">
        <v>68</v>
      </c>
      <c r="J10" s="3" t="s">
        <v>73</v>
      </c>
      <c r="L10" s="3" t="s">
        <v>70</v>
      </c>
      <c r="M10" s="7" t="s">
        <v>478</v>
      </c>
      <c r="O10" s="3" t="s">
        <v>11</v>
      </c>
      <c r="P10" s="7" t="s">
        <v>78</v>
      </c>
      <c r="Q10" s="7" t="s">
        <v>79</v>
      </c>
      <c r="R10" s="3" t="s">
        <v>71</v>
      </c>
      <c r="S10" s="3" t="s">
        <v>72</v>
      </c>
      <c r="AB10" s="3" t="s">
        <v>13</v>
      </c>
      <c r="AC10" s="4" t="s">
        <v>13</v>
      </c>
      <c r="AD10" s="3" t="s">
        <v>14</v>
      </c>
      <c r="AQ10" s="3">
        <v>53.2</v>
      </c>
      <c r="AS10">
        <v>0.45</v>
      </c>
      <c r="BD10">
        <v>16.600000000000001</v>
      </c>
      <c r="BF10">
        <v>0.24</v>
      </c>
    </row>
    <row r="11" spans="1:67" ht="72" x14ac:dyDescent="0.3">
      <c r="A11" t="s">
        <v>230</v>
      </c>
      <c r="B11" s="3" t="s">
        <v>16</v>
      </c>
      <c r="C11" s="3"/>
      <c r="D11" s="8" t="s">
        <v>89</v>
      </c>
      <c r="E11" s="1" t="s">
        <v>66</v>
      </c>
      <c r="F11" s="6" t="s">
        <v>67</v>
      </c>
      <c r="G11" s="7" t="s">
        <v>88</v>
      </c>
      <c r="H11" s="3" t="s">
        <v>90</v>
      </c>
      <c r="I11" s="3" t="s">
        <v>68</v>
      </c>
      <c r="J11" s="3" t="s">
        <v>74</v>
      </c>
      <c r="L11" s="3" t="s">
        <v>70</v>
      </c>
      <c r="M11" s="7" t="s">
        <v>478</v>
      </c>
      <c r="O11" s="3" t="s">
        <v>11</v>
      </c>
      <c r="P11" s="7" t="s">
        <v>78</v>
      </c>
      <c r="Q11" s="7" t="s">
        <v>79</v>
      </c>
      <c r="R11" s="3" t="s">
        <v>71</v>
      </c>
      <c r="S11" s="3" t="s">
        <v>72</v>
      </c>
      <c r="AB11" s="3" t="s">
        <v>13</v>
      </c>
      <c r="AC11" s="4" t="s">
        <v>13</v>
      </c>
      <c r="AD11" s="3" t="s">
        <v>14</v>
      </c>
      <c r="AQ11" s="3">
        <v>40.4</v>
      </c>
      <c r="AS11">
        <v>0.5</v>
      </c>
      <c r="BD11">
        <v>22.5</v>
      </c>
      <c r="BF11">
        <v>0.25</v>
      </c>
    </row>
    <row r="12" spans="1:67" ht="72" x14ac:dyDescent="0.3">
      <c r="A12" t="s">
        <v>231</v>
      </c>
      <c r="B12" s="3" t="s">
        <v>16</v>
      </c>
      <c r="C12" s="3"/>
      <c r="D12" s="8" t="s">
        <v>89</v>
      </c>
      <c r="E12" s="1" t="s">
        <v>66</v>
      </c>
      <c r="F12" s="6" t="s">
        <v>67</v>
      </c>
      <c r="G12" s="7" t="s">
        <v>88</v>
      </c>
      <c r="H12" s="3" t="s">
        <v>90</v>
      </c>
      <c r="I12" s="3" t="s">
        <v>68</v>
      </c>
      <c r="J12" s="3" t="s">
        <v>75</v>
      </c>
      <c r="L12" s="3" t="s">
        <v>70</v>
      </c>
      <c r="M12" s="7" t="s">
        <v>478</v>
      </c>
      <c r="O12" s="3" t="s">
        <v>11</v>
      </c>
      <c r="P12" s="7" t="s">
        <v>78</v>
      </c>
      <c r="Q12" s="7" t="s">
        <v>79</v>
      </c>
      <c r="R12" s="3" t="s">
        <v>71</v>
      </c>
      <c r="S12" s="3" t="s">
        <v>72</v>
      </c>
      <c r="AB12" s="3" t="s">
        <v>13</v>
      </c>
      <c r="AC12" s="4" t="s">
        <v>13</v>
      </c>
      <c r="AD12" s="3" t="s">
        <v>14</v>
      </c>
      <c r="AQ12" s="3">
        <v>30.7</v>
      </c>
      <c r="AS12">
        <v>0.53</v>
      </c>
      <c r="BD12">
        <v>23.5</v>
      </c>
      <c r="BF12">
        <v>0.22</v>
      </c>
    </row>
    <row r="13" spans="1:67" ht="60" customHeight="1" x14ac:dyDescent="0.3">
      <c r="A13" t="s">
        <v>232</v>
      </c>
      <c r="B13" s="3" t="s">
        <v>64</v>
      </c>
      <c r="C13" s="12">
        <v>45006</v>
      </c>
      <c r="D13" s="8" t="s">
        <v>136</v>
      </c>
      <c r="E13" s="1" t="s">
        <v>65</v>
      </c>
      <c r="F13" s="6" t="s">
        <v>76</v>
      </c>
      <c r="H13" s="3" t="s">
        <v>117</v>
      </c>
      <c r="I13" s="3" t="s">
        <v>100</v>
      </c>
      <c r="J13" s="3" t="s">
        <v>105</v>
      </c>
      <c r="K13" t="s">
        <v>115</v>
      </c>
      <c r="L13" s="3" t="s">
        <v>106</v>
      </c>
      <c r="M13" s="7" t="s">
        <v>479</v>
      </c>
      <c r="O13" s="3" t="s">
        <v>107</v>
      </c>
      <c r="P13" s="3" t="s">
        <v>113</v>
      </c>
      <c r="Q13" s="3" t="s">
        <v>79</v>
      </c>
      <c r="R13" s="3"/>
      <c r="AB13" s="3" t="s">
        <v>99</v>
      </c>
      <c r="AD13" s="3" t="s">
        <v>14</v>
      </c>
      <c r="AP13" s="7">
        <v>24.9</v>
      </c>
      <c r="AQ13" s="3">
        <v>92</v>
      </c>
      <c r="AR13" s="7"/>
      <c r="BC13">
        <v>3.2</v>
      </c>
      <c r="BD13">
        <v>9.6</v>
      </c>
    </row>
    <row r="14" spans="1:67" ht="57.6" customHeight="1" x14ac:dyDescent="0.3">
      <c r="A14" t="s">
        <v>233</v>
      </c>
      <c r="B14" s="3" t="s">
        <v>64</v>
      </c>
      <c r="C14" s="12">
        <v>45006</v>
      </c>
      <c r="D14" s="8" t="s">
        <v>136</v>
      </c>
      <c r="E14" s="1" t="s">
        <v>65</v>
      </c>
      <c r="F14" s="6" t="s">
        <v>76</v>
      </c>
      <c r="H14" s="3" t="s">
        <v>118</v>
      </c>
      <c r="I14" s="3" t="s">
        <v>101</v>
      </c>
      <c r="J14" s="3" t="s">
        <v>105</v>
      </c>
      <c r="K14" t="s">
        <v>115</v>
      </c>
      <c r="L14" s="3" t="s">
        <v>106</v>
      </c>
      <c r="M14" s="7" t="s">
        <v>479</v>
      </c>
      <c r="O14" s="3" t="s">
        <v>107</v>
      </c>
      <c r="P14" s="3" t="s">
        <v>113</v>
      </c>
      <c r="Q14" s="3" t="s">
        <v>79</v>
      </c>
      <c r="R14" s="3"/>
      <c r="AB14" s="3" t="s">
        <v>99</v>
      </c>
      <c r="AD14" s="3" t="s">
        <v>14</v>
      </c>
      <c r="AP14" s="7">
        <v>39.299999999999997</v>
      </c>
      <c r="AQ14" s="3">
        <v>129</v>
      </c>
      <c r="AR14" s="7"/>
      <c r="BC14">
        <v>2.2000000000000002</v>
      </c>
      <c r="BD14">
        <v>6.7</v>
      </c>
    </row>
    <row r="15" spans="1:67" ht="58.95" customHeight="1" x14ac:dyDescent="0.3">
      <c r="A15" t="s">
        <v>234</v>
      </c>
      <c r="B15" s="3" t="s">
        <v>64</v>
      </c>
      <c r="C15" s="12">
        <v>45006</v>
      </c>
      <c r="D15" s="8" t="s">
        <v>136</v>
      </c>
      <c r="E15" s="1" t="s">
        <v>65</v>
      </c>
      <c r="F15" s="6" t="s">
        <v>76</v>
      </c>
      <c r="H15" s="3" t="s">
        <v>119</v>
      </c>
      <c r="I15" s="3" t="s">
        <v>102</v>
      </c>
      <c r="J15" s="3" t="s">
        <v>105</v>
      </c>
      <c r="K15" t="s">
        <v>115</v>
      </c>
      <c r="L15" s="3" t="s">
        <v>106</v>
      </c>
      <c r="M15" s="7" t="s">
        <v>479</v>
      </c>
      <c r="O15" s="3" t="s">
        <v>107</v>
      </c>
      <c r="P15" s="3" t="s">
        <v>113</v>
      </c>
      <c r="Q15" s="3" t="s">
        <v>79</v>
      </c>
      <c r="R15" s="3"/>
      <c r="AB15" s="3" t="s">
        <v>99</v>
      </c>
      <c r="AD15" s="3" t="s">
        <v>14</v>
      </c>
      <c r="AP15" s="7">
        <v>38.9</v>
      </c>
      <c r="AQ15" s="3">
        <v>128</v>
      </c>
      <c r="AR15" s="7"/>
      <c r="BC15">
        <v>2</v>
      </c>
      <c r="BD15">
        <v>5.9</v>
      </c>
    </row>
    <row r="16" spans="1:67" ht="63" customHeight="1" x14ac:dyDescent="0.3">
      <c r="A16" t="s">
        <v>235</v>
      </c>
      <c r="B16" s="3" t="s">
        <v>64</v>
      </c>
      <c r="C16" s="12">
        <v>45006</v>
      </c>
      <c r="D16" s="8" t="s">
        <v>136</v>
      </c>
      <c r="E16" s="1" t="s">
        <v>65</v>
      </c>
      <c r="F16" s="6" t="s">
        <v>76</v>
      </c>
      <c r="H16" s="3" t="s">
        <v>116</v>
      </c>
      <c r="I16" s="3" t="s">
        <v>103</v>
      </c>
      <c r="J16" s="3" t="s">
        <v>105</v>
      </c>
      <c r="K16" t="s">
        <v>115</v>
      </c>
      <c r="L16" s="3" t="s">
        <v>106</v>
      </c>
      <c r="M16" s="7" t="s">
        <v>479</v>
      </c>
      <c r="O16" s="3" t="s">
        <v>107</v>
      </c>
      <c r="P16" s="3" t="s">
        <v>113</v>
      </c>
      <c r="Q16" s="3" t="s">
        <v>79</v>
      </c>
      <c r="R16" s="3"/>
      <c r="AB16" s="3" t="s">
        <v>99</v>
      </c>
      <c r="AD16" s="3" t="s">
        <v>14</v>
      </c>
      <c r="AP16" s="7">
        <v>31.8</v>
      </c>
      <c r="AQ16" s="3">
        <v>105</v>
      </c>
      <c r="AR16" s="7"/>
      <c r="BC16">
        <v>3.7</v>
      </c>
      <c r="BD16">
        <v>10.9</v>
      </c>
    </row>
    <row r="17" spans="1:67" ht="59.55" customHeight="1" x14ac:dyDescent="0.3">
      <c r="A17" t="s">
        <v>236</v>
      </c>
      <c r="B17" s="3" t="s">
        <v>64</v>
      </c>
      <c r="C17" s="12">
        <v>45006</v>
      </c>
      <c r="D17" s="8" t="s">
        <v>136</v>
      </c>
      <c r="E17" s="1" t="s">
        <v>65</v>
      </c>
      <c r="F17" s="6" t="s">
        <v>76</v>
      </c>
      <c r="H17" s="3" t="s">
        <v>116</v>
      </c>
      <c r="I17" s="3" t="s">
        <v>104</v>
      </c>
      <c r="J17" s="3" t="s">
        <v>105</v>
      </c>
      <c r="K17" t="s">
        <v>115</v>
      </c>
      <c r="L17" s="3" t="s">
        <v>106</v>
      </c>
      <c r="M17" s="7" t="s">
        <v>479</v>
      </c>
      <c r="O17" s="3" t="s">
        <v>107</v>
      </c>
      <c r="P17" s="3" t="s">
        <v>113</v>
      </c>
      <c r="Q17" s="3" t="s">
        <v>79</v>
      </c>
      <c r="R17" s="3"/>
      <c r="AB17" s="3" t="s">
        <v>99</v>
      </c>
      <c r="AD17" s="3" t="s">
        <v>14</v>
      </c>
      <c r="AP17" s="7">
        <v>30</v>
      </c>
      <c r="AQ17" s="3">
        <v>102</v>
      </c>
      <c r="AR17" s="7"/>
      <c r="BC17">
        <v>4</v>
      </c>
      <c r="BD17">
        <v>12.1</v>
      </c>
    </row>
    <row r="18" spans="1:67" ht="88.95" customHeight="1" x14ac:dyDescent="0.3">
      <c r="A18" t="s">
        <v>237</v>
      </c>
      <c r="B18" s="3" t="s">
        <v>16</v>
      </c>
      <c r="C18" s="12">
        <v>45012</v>
      </c>
      <c r="D18" s="7" t="s">
        <v>121</v>
      </c>
      <c r="E18" s="1" t="s">
        <v>94</v>
      </c>
      <c r="F18" s="1" t="s">
        <v>95</v>
      </c>
      <c r="G18" s="15" t="s">
        <v>208</v>
      </c>
      <c r="H18" s="3" t="s">
        <v>139</v>
      </c>
      <c r="I18" s="1" t="s">
        <v>96</v>
      </c>
      <c r="J18" s="3" t="s">
        <v>97</v>
      </c>
      <c r="K18" t="s">
        <v>124</v>
      </c>
      <c r="L18" s="3" t="s">
        <v>123</v>
      </c>
      <c r="M18" s="7" t="s">
        <v>480</v>
      </c>
      <c r="O18" s="3" t="s">
        <v>11</v>
      </c>
      <c r="P18" s="3" t="s">
        <v>125</v>
      </c>
      <c r="Q18" s="3" t="s">
        <v>127</v>
      </c>
      <c r="R18" s="3" t="s">
        <v>126</v>
      </c>
      <c r="S18" s="3" t="s">
        <v>128</v>
      </c>
      <c r="T18" s="3" t="s">
        <v>129</v>
      </c>
      <c r="U18" s="3" t="s">
        <v>130</v>
      </c>
      <c r="V18" s="3" t="s">
        <v>131</v>
      </c>
      <c r="W18" s="3" t="s">
        <v>132</v>
      </c>
      <c r="X18" s="3" t="s">
        <v>133</v>
      </c>
      <c r="Y18" s="3" t="s">
        <v>134</v>
      </c>
      <c r="Z18" s="3" t="s">
        <v>135</v>
      </c>
      <c r="AA18" s="3" t="s">
        <v>138</v>
      </c>
      <c r="AB18" t="s">
        <v>481</v>
      </c>
      <c r="AC18" t="s">
        <v>482</v>
      </c>
      <c r="AD18" s="3" t="s">
        <v>14</v>
      </c>
      <c r="AE18" s="3" t="s">
        <v>137</v>
      </c>
      <c r="AF18" t="s">
        <v>483</v>
      </c>
      <c r="AG18" t="s">
        <v>484</v>
      </c>
      <c r="AH18" t="s">
        <v>14</v>
      </c>
      <c r="AI18" t="s">
        <v>137</v>
      </c>
      <c r="AJ18" t="s">
        <v>483</v>
      </c>
      <c r="AK18" t="s">
        <v>485</v>
      </c>
      <c r="AL18" t="s">
        <v>14</v>
      </c>
      <c r="AM18" t="s">
        <v>14</v>
      </c>
      <c r="AN18" t="s">
        <v>481</v>
      </c>
      <c r="AP18" s="14">
        <v>3.1599999999999998E-25</v>
      </c>
      <c r="AQ18" s="14">
        <v>-8.6827000000000005</v>
      </c>
      <c r="AR18" s="14">
        <v>4.4000000000000003E-3</v>
      </c>
      <c r="AS18" s="14">
        <v>4.32E-15</v>
      </c>
      <c r="AT18" s="14">
        <v>5.4499999999999998E-15</v>
      </c>
      <c r="AU18" s="14">
        <v>59.82</v>
      </c>
      <c r="AV18" s="14">
        <v>3.2799999999999999E-3</v>
      </c>
      <c r="AW18" s="14">
        <v>6.9700000000000001E-15</v>
      </c>
      <c r="AX18" s="14">
        <v>9.1999999999999992E-22</v>
      </c>
      <c r="AY18" s="14">
        <v>19.3</v>
      </c>
      <c r="AZ18" s="14">
        <v>43.42</v>
      </c>
      <c r="BA18" s="14">
        <v>4.0999999999999999E-4</v>
      </c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7" ht="144" x14ac:dyDescent="0.3">
      <c r="A19" t="s">
        <v>238</v>
      </c>
      <c r="B19" s="3" t="s">
        <v>16</v>
      </c>
      <c r="C19" s="16">
        <v>45023</v>
      </c>
      <c r="D19" t="s">
        <v>140</v>
      </c>
      <c r="E19" s="1" t="s">
        <v>141</v>
      </c>
      <c r="F19" s="1" t="s">
        <v>142</v>
      </c>
      <c r="G19" t="s">
        <v>147</v>
      </c>
      <c r="H19" s="3" t="s">
        <v>154</v>
      </c>
      <c r="I19" s="1" t="s">
        <v>143</v>
      </c>
      <c r="J19" s="3" t="s">
        <v>144</v>
      </c>
      <c r="K19" t="s">
        <v>153</v>
      </c>
      <c r="L19" s="3" t="s">
        <v>145</v>
      </c>
      <c r="M19" s="7" t="s">
        <v>486</v>
      </c>
      <c r="O19" s="3" t="s">
        <v>148</v>
      </c>
      <c r="P19" s="3" t="s">
        <v>162</v>
      </c>
      <c r="Q19" t="s">
        <v>160</v>
      </c>
      <c r="R19" t="s">
        <v>161</v>
      </c>
      <c r="S19" t="s">
        <v>98</v>
      </c>
      <c r="AB19" s="3" t="s">
        <v>50</v>
      </c>
      <c r="AD19" s="3" t="s">
        <v>14</v>
      </c>
      <c r="AE19" t="s">
        <v>146</v>
      </c>
      <c r="AP19" s="7">
        <v>14.7</v>
      </c>
      <c r="AQ19" s="3">
        <v>76.22</v>
      </c>
      <c r="AR19">
        <v>-5.0000000000000001E-3</v>
      </c>
      <c r="AS19">
        <v>7.2999999999999995E-2</v>
      </c>
      <c r="BC19">
        <v>4.4000000000000004</v>
      </c>
      <c r="BD19">
        <v>0.13500000000000001</v>
      </c>
      <c r="BE19">
        <v>1.2E-2</v>
      </c>
      <c r="BF19">
        <v>0.02</v>
      </c>
      <c r="BO19" s="1" t="s">
        <v>222</v>
      </c>
    </row>
    <row r="20" spans="1:67" ht="83.4" x14ac:dyDescent="0.3">
      <c r="A20" t="s">
        <v>239</v>
      </c>
      <c r="B20" s="4" t="s">
        <v>16</v>
      </c>
      <c r="C20" s="21">
        <v>45033</v>
      </c>
      <c r="D20" s="22"/>
      <c r="E20" s="13" t="s">
        <v>163</v>
      </c>
      <c r="F20" s="13" t="s">
        <v>164</v>
      </c>
      <c r="G20" s="13"/>
      <c r="H20" s="4" t="s">
        <v>168</v>
      </c>
      <c r="I20" s="23" t="s">
        <v>169</v>
      </c>
      <c r="J20" s="4" t="s">
        <v>170</v>
      </c>
      <c r="K20" s="13"/>
      <c r="L20" s="4" t="s">
        <v>177</v>
      </c>
      <c r="M20" s="59" t="s">
        <v>487</v>
      </c>
      <c r="N20" s="13"/>
      <c r="O20" s="4" t="s">
        <v>11</v>
      </c>
      <c r="P20" s="4" t="s">
        <v>171</v>
      </c>
      <c r="Q20" s="4" t="s">
        <v>172</v>
      </c>
      <c r="R20" s="4" t="s">
        <v>173</v>
      </c>
      <c r="S20" s="4" t="s">
        <v>21</v>
      </c>
      <c r="T20" s="4" t="s">
        <v>174</v>
      </c>
      <c r="U20" s="4" t="s">
        <v>175</v>
      </c>
      <c r="V20" s="4" t="s">
        <v>71</v>
      </c>
      <c r="W20" s="4" t="s">
        <v>176</v>
      </c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</row>
    <row r="21" spans="1:67" ht="57.6" x14ac:dyDescent="0.3">
      <c r="A21" t="s">
        <v>240</v>
      </c>
      <c r="B21" s="3" t="s">
        <v>64</v>
      </c>
      <c r="C21" s="17">
        <v>45030</v>
      </c>
      <c r="D21" t="s">
        <v>165</v>
      </c>
      <c r="E21" s="1" t="s">
        <v>166</v>
      </c>
      <c r="F21" s="3" t="s">
        <v>167</v>
      </c>
    </row>
    <row r="22" spans="1:67" ht="86.4" x14ac:dyDescent="0.3">
      <c r="A22" t="s">
        <v>241</v>
      </c>
      <c r="B22" s="3" t="s">
        <v>16</v>
      </c>
      <c r="C22" s="16">
        <v>45043</v>
      </c>
      <c r="D22" t="s">
        <v>210</v>
      </c>
      <c r="E22" s="1" t="s">
        <v>178</v>
      </c>
      <c r="F22" t="s">
        <v>179</v>
      </c>
      <c r="G22" s="18" t="s">
        <v>196</v>
      </c>
      <c r="H22" s="3" t="s">
        <v>186</v>
      </c>
      <c r="I22" s="1" t="s">
        <v>180</v>
      </c>
      <c r="J22" s="3" t="s">
        <v>181</v>
      </c>
      <c r="K22" t="s">
        <v>190</v>
      </c>
      <c r="L22" t="s">
        <v>187</v>
      </c>
      <c r="O22" t="s">
        <v>11</v>
      </c>
      <c r="P22" t="s">
        <v>78</v>
      </c>
      <c r="Q22" t="s">
        <v>79</v>
      </c>
      <c r="R22" t="s">
        <v>21</v>
      </c>
      <c r="S22" t="s">
        <v>72</v>
      </c>
      <c r="T22" t="s">
        <v>71</v>
      </c>
      <c r="AB22" t="s">
        <v>188</v>
      </c>
      <c r="AC22" t="s">
        <v>189</v>
      </c>
      <c r="AD22" t="s">
        <v>14</v>
      </c>
      <c r="AP22">
        <v>0.35</v>
      </c>
      <c r="AQ22">
        <v>67.5</v>
      </c>
      <c r="AR22">
        <v>2.41</v>
      </c>
      <c r="AS22">
        <v>0.75</v>
      </c>
      <c r="AT22">
        <v>1.52</v>
      </c>
      <c r="BC22">
        <v>3.6999999999999998E-2</v>
      </c>
      <c r="BD22">
        <v>7.25</v>
      </c>
      <c r="BE22">
        <v>0.03</v>
      </c>
      <c r="BF22">
        <v>4.3749999999999997E-2</v>
      </c>
      <c r="BG22">
        <v>6.3E-2</v>
      </c>
    </row>
    <row r="23" spans="1:67" ht="72" x14ac:dyDescent="0.3">
      <c r="A23" t="s">
        <v>242</v>
      </c>
      <c r="B23" s="3" t="s">
        <v>16</v>
      </c>
      <c r="D23" t="s">
        <v>209</v>
      </c>
      <c r="E23" s="1" t="s">
        <v>182</v>
      </c>
      <c r="F23" t="s">
        <v>183</v>
      </c>
      <c r="G23" s="18" t="s">
        <v>197</v>
      </c>
      <c r="H23" s="3" t="s">
        <v>185</v>
      </c>
      <c r="I23" s="1" t="s">
        <v>184</v>
      </c>
    </row>
    <row r="24" spans="1:67" ht="115.2" x14ac:dyDescent="0.3">
      <c r="A24" t="s">
        <v>243</v>
      </c>
      <c r="B24" s="3" t="s">
        <v>16</v>
      </c>
      <c r="C24" s="16">
        <v>45061</v>
      </c>
      <c r="D24" t="s">
        <v>198</v>
      </c>
      <c r="E24" s="1" t="s">
        <v>191</v>
      </c>
      <c r="F24" s="1" t="s">
        <v>192</v>
      </c>
      <c r="G24" s="18" t="s">
        <v>199</v>
      </c>
      <c r="H24" s="3" t="s">
        <v>193</v>
      </c>
      <c r="I24" s="1" t="s">
        <v>194</v>
      </c>
      <c r="J24" s="3" t="s">
        <v>195</v>
      </c>
      <c r="L24" s="1" t="s">
        <v>220</v>
      </c>
      <c r="M24" s="7" t="s">
        <v>488</v>
      </c>
      <c r="O24" t="s">
        <v>11</v>
      </c>
      <c r="P24" t="s">
        <v>79</v>
      </c>
      <c r="Q24" t="s">
        <v>72</v>
      </c>
      <c r="R24" t="s">
        <v>78</v>
      </c>
      <c r="AB24" t="s">
        <v>188</v>
      </c>
      <c r="AC24" t="s">
        <v>14</v>
      </c>
      <c r="AO24">
        <v>0.1</v>
      </c>
      <c r="AP24">
        <v>29.91</v>
      </c>
    </row>
    <row r="25" spans="1:67" ht="72" x14ac:dyDescent="0.3">
      <c r="A25" t="s">
        <v>244</v>
      </c>
      <c r="B25" s="3" t="s">
        <v>16</v>
      </c>
      <c r="C25" s="16">
        <v>45061</v>
      </c>
      <c r="D25" t="s">
        <v>212</v>
      </c>
      <c r="E25" s="1" t="s">
        <v>213</v>
      </c>
      <c r="F25" s="1" t="s">
        <v>214</v>
      </c>
      <c r="G25" s="18" t="s">
        <v>215</v>
      </c>
      <c r="H25" s="3" t="s">
        <v>216</v>
      </c>
      <c r="I25" s="1" t="s">
        <v>217</v>
      </c>
      <c r="J25" s="3" t="s">
        <v>218</v>
      </c>
      <c r="L25" s="1" t="s">
        <v>219</v>
      </c>
      <c r="M25" s="7" t="s">
        <v>489</v>
      </c>
      <c r="O25" t="s">
        <v>79</v>
      </c>
      <c r="P25" t="s">
        <v>11</v>
      </c>
      <c r="Q25" t="s">
        <v>78</v>
      </c>
      <c r="AB25" t="s">
        <v>14</v>
      </c>
      <c r="AC25" t="s">
        <v>221</v>
      </c>
      <c r="AO25">
        <v>58.24</v>
      </c>
    </row>
    <row r="26" spans="1:67" s="7" customFormat="1" ht="129.6" x14ac:dyDescent="0.3">
      <c r="A26" s="7" t="s">
        <v>245</v>
      </c>
      <c r="B26" s="3" t="s">
        <v>16</v>
      </c>
      <c r="C26" s="17">
        <v>45072</v>
      </c>
      <c r="D26" s="7" t="s">
        <v>248</v>
      </c>
      <c r="E26" s="3" t="s">
        <v>246</v>
      </c>
      <c r="F26" s="3" t="s">
        <v>247</v>
      </c>
      <c r="G26" s="7" t="s">
        <v>249</v>
      </c>
      <c r="H26" s="3" t="s">
        <v>346</v>
      </c>
      <c r="I26" s="3" t="s">
        <v>250</v>
      </c>
      <c r="J26" s="3" t="s">
        <v>251</v>
      </c>
      <c r="K26" s="7" t="s">
        <v>253</v>
      </c>
      <c r="L26" s="3" t="s">
        <v>251</v>
      </c>
      <c r="M26" s="31"/>
      <c r="O26" s="7" t="s">
        <v>254</v>
      </c>
      <c r="P26" s="7" t="s">
        <v>256</v>
      </c>
      <c r="Q26" s="7" t="s">
        <v>255</v>
      </c>
      <c r="R26" s="7" t="s">
        <v>257</v>
      </c>
      <c r="S26" s="7" t="s">
        <v>258</v>
      </c>
      <c r="T26" s="7" t="s">
        <v>260</v>
      </c>
      <c r="U26" s="7" t="s">
        <v>259</v>
      </c>
      <c r="V26" s="7" t="s">
        <v>261</v>
      </c>
      <c r="W26" s="7" t="s">
        <v>262</v>
      </c>
      <c r="X26" s="7" t="s">
        <v>264</v>
      </c>
      <c r="Y26" s="7" t="s">
        <v>263</v>
      </c>
      <c r="AB26" s="32" t="s">
        <v>294</v>
      </c>
      <c r="AC26" s="32" t="s">
        <v>294</v>
      </c>
      <c r="AD26" s="32" t="s">
        <v>294</v>
      </c>
      <c r="AE26" s="32" t="s">
        <v>294</v>
      </c>
      <c r="AF26" s="7" t="s">
        <v>14</v>
      </c>
      <c r="AG26" s="7" t="s">
        <v>14</v>
      </c>
      <c r="AH26" s="7" t="s">
        <v>14</v>
      </c>
      <c r="AI26" s="7" t="s">
        <v>14</v>
      </c>
      <c r="AJ26" s="32"/>
      <c r="AK26" s="32"/>
      <c r="AL26" s="32"/>
      <c r="AO26" s="7">
        <v>33000000</v>
      </c>
      <c r="AP26" s="33">
        <v>4.6999999999999995E-25</v>
      </c>
      <c r="AQ26" s="7">
        <v>13100000</v>
      </c>
      <c r="AR26" s="7">
        <v>0</v>
      </c>
      <c r="AS26" s="7">
        <v>78.789500000000004</v>
      </c>
      <c r="AT26" s="7">
        <v>-110.9653</v>
      </c>
      <c r="AU26" s="7">
        <v>84.044200000000004</v>
      </c>
      <c r="AV26" s="7">
        <v>0</v>
      </c>
      <c r="AW26" s="32">
        <v>1</v>
      </c>
      <c r="AX26" s="32">
        <v>1.7</v>
      </c>
      <c r="AY26" s="32">
        <v>1.2</v>
      </c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</row>
    <row r="27" spans="1:67" s="7" customFormat="1" ht="57.6" x14ac:dyDescent="0.3">
      <c r="A27" s="7" t="s">
        <v>269</v>
      </c>
      <c r="B27" s="3" t="s">
        <v>16</v>
      </c>
      <c r="C27" s="17">
        <v>45085</v>
      </c>
      <c r="D27" s="7" t="s">
        <v>270</v>
      </c>
      <c r="E27" s="24" t="s">
        <v>271</v>
      </c>
      <c r="F27" s="25" t="s">
        <v>272</v>
      </c>
      <c r="G27" s="7" t="s">
        <v>273</v>
      </c>
      <c r="H27" s="3" t="s">
        <v>274</v>
      </c>
      <c r="I27" s="3" t="s">
        <v>275</v>
      </c>
      <c r="J27" s="3" t="s">
        <v>251</v>
      </c>
      <c r="K27" s="7" t="s">
        <v>253</v>
      </c>
      <c r="L27" s="3" t="s">
        <v>251</v>
      </c>
      <c r="O27" s="7" t="s">
        <v>254</v>
      </c>
      <c r="P27" s="7" t="s">
        <v>256</v>
      </c>
      <c r="Q27" s="7" t="s">
        <v>255</v>
      </c>
      <c r="R27" s="7" t="s">
        <v>257</v>
      </c>
      <c r="S27" s="7" t="s">
        <v>258</v>
      </c>
      <c r="T27" s="7" t="s">
        <v>260</v>
      </c>
      <c r="U27" s="7" t="s">
        <v>259</v>
      </c>
      <c r="V27" s="7" t="s">
        <v>261</v>
      </c>
      <c r="W27" s="7" t="s">
        <v>262</v>
      </c>
      <c r="X27" s="7" t="s">
        <v>264</v>
      </c>
      <c r="Y27" s="7" t="s">
        <v>263</v>
      </c>
      <c r="AB27" s="32" t="s">
        <v>294</v>
      </c>
      <c r="AC27" s="32" t="s">
        <v>294</v>
      </c>
      <c r="AD27" s="32" t="s">
        <v>294</v>
      </c>
      <c r="AE27" s="32" t="s">
        <v>294</v>
      </c>
      <c r="AF27" s="7" t="s">
        <v>14</v>
      </c>
      <c r="AG27" s="7" t="s">
        <v>14</v>
      </c>
      <c r="AH27" s="7" t="s">
        <v>14</v>
      </c>
      <c r="AI27" s="7" t="s">
        <v>14</v>
      </c>
      <c r="AJ27" s="32"/>
      <c r="AK27" s="32"/>
      <c r="AL27" s="32"/>
      <c r="AO27" s="7">
        <v>46700000</v>
      </c>
      <c r="AP27" s="33">
        <v>4.6999999999999995E-25</v>
      </c>
      <c r="AQ27" s="7">
        <v>19900000</v>
      </c>
      <c r="AR27" s="7">
        <v>0</v>
      </c>
      <c r="AS27" s="7">
        <v>78.789500000000004</v>
      </c>
      <c r="AT27" s="7">
        <v>-110.9653</v>
      </c>
      <c r="AU27" s="7">
        <v>84.044200000000004</v>
      </c>
      <c r="AV27" s="7">
        <v>0</v>
      </c>
      <c r="AW27" s="32">
        <v>1</v>
      </c>
      <c r="AX27" s="32">
        <v>1.7</v>
      </c>
      <c r="AY27" s="32">
        <v>1.2</v>
      </c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</row>
    <row r="28" spans="1:67" ht="57.6" x14ac:dyDescent="0.3">
      <c r="A28" t="s">
        <v>276</v>
      </c>
      <c r="B28" s="3" t="s">
        <v>16</v>
      </c>
      <c r="C28" s="16">
        <v>45085</v>
      </c>
      <c r="D28" t="s">
        <v>277</v>
      </c>
      <c r="E28" s="26" t="s">
        <v>278</v>
      </c>
      <c r="F28" t="s">
        <v>279</v>
      </c>
      <c r="G28" s="7" t="s">
        <v>280</v>
      </c>
      <c r="H28" s="26" t="s">
        <v>281</v>
      </c>
      <c r="I28" s="1" t="s">
        <v>282</v>
      </c>
      <c r="J28" s="3" t="s">
        <v>251</v>
      </c>
      <c r="K28" t="s">
        <v>283</v>
      </c>
      <c r="L28" s="1" t="s">
        <v>251</v>
      </c>
      <c r="O28" t="s">
        <v>254</v>
      </c>
      <c r="P28" t="s">
        <v>256</v>
      </c>
      <c r="Q28" t="s">
        <v>255</v>
      </c>
      <c r="R28" t="s">
        <v>257</v>
      </c>
      <c r="S28" t="s">
        <v>258</v>
      </c>
      <c r="T28" t="s">
        <v>260</v>
      </c>
      <c r="U28" t="s">
        <v>259</v>
      </c>
      <c r="V28" t="s">
        <v>261</v>
      </c>
      <c r="W28" t="s">
        <v>262</v>
      </c>
      <c r="X28" t="s">
        <v>264</v>
      </c>
      <c r="Y28" t="s">
        <v>263</v>
      </c>
      <c r="AB28" s="13" t="s">
        <v>294</v>
      </c>
      <c r="AC28" s="13" t="s">
        <v>294</v>
      </c>
      <c r="AD28" s="13" t="s">
        <v>294</v>
      </c>
      <c r="AE28" s="13" t="s">
        <v>294</v>
      </c>
      <c r="AF28" t="s">
        <v>14</v>
      </c>
      <c r="AG28" t="s">
        <v>14</v>
      </c>
      <c r="AH28" t="s">
        <v>14</v>
      </c>
      <c r="AI28" t="s">
        <v>14</v>
      </c>
      <c r="AJ28" s="13"/>
      <c r="AK28" s="13"/>
      <c r="AL28" s="13"/>
      <c r="AO28">
        <v>937000000</v>
      </c>
      <c r="AP28">
        <v>0</v>
      </c>
      <c r="AQ28">
        <v>21500000</v>
      </c>
      <c r="AR28">
        <v>0</v>
      </c>
      <c r="AS28">
        <v>85.877499999999998</v>
      </c>
      <c r="AT28">
        <v>0</v>
      </c>
      <c r="AU28">
        <v>90.702100000000002</v>
      </c>
      <c r="AV28">
        <v>0</v>
      </c>
      <c r="AW28" s="13">
        <v>1</v>
      </c>
      <c r="AX28" s="13">
        <v>1.7</v>
      </c>
      <c r="AY28" s="13">
        <v>1.2</v>
      </c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7" ht="72" x14ac:dyDescent="0.3">
      <c r="A29" t="s">
        <v>287</v>
      </c>
      <c r="B29" s="3" t="s">
        <v>16</v>
      </c>
      <c r="C29" s="16">
        <v>45086</v>
      </c>
      <c r="D29" t="s">
        <v>286</v>
      </c>
      <c r="E29" s="24" t="s">
        <v>293</v>
      </c>
      <c r="F29" s="27" t="s">
        <v>289</v>
      </c>
      <c r="G29" s="7" t="s">
        <v>288</v>
      </c>
      <c r="H29" s="26" t="s">
        <v>290</v>
      </c>
      <c r="I29" s="1" t="s">
        <v>291</v>
      </c>
      <c r="J29" s="3" t="s">
        <v>251</v>
      </c>
      <c r="K29" t="s">
        <v>292</v>
      </c>
      <c r="L29" s="1" t="s">
        <v>251</v>
      </c>
      <c r="O29" t="s">
        <v>254</v>
      </c>
      <c r="P29" t="s">
        <v>256</v>
      </c>
      <c r="Q29" t="s">
        <v>255</v>
      </c>
      <c r="R29" t="s">
        <v>257</v>
      </c>
      <c r="S29" t="s">
        <v>258</v>
      </c>
      <c r="T29" t="s">
        <v>260</v>
      </c>
      <c r="U29" t="s">
        <v>259</v>
      </c>
      <c r="V29" t="s">
        <v>261</v>
      </c>
      <c r="W29" t="s">
        <v>262</v>
      </c>
      <c r="X29" t="s">
        <v>264</v>
      </c>
      <c r="Y29" t="s">
        <v>263</v>
      </c>
      <c r="AB29" s="13" t="s">
        <v>294</v>
      </c>
      <c r="AC29" s="13" t="s">
        <v>294</v>
      </c>
      <c r="AD29" s="13" t="s">
        <v>294</v>
      </c>
      <c r="AE29" s="13" t="s">
        <v>294</v>
      </c>
      <c r="AF29" t="s">
        <v>14</v>
      </c>
      <c r="AG29" t="s">
        <v>14</v>
      </c>
      <c r="AH29" t="s">
        <v>14</v>
      </c>
      <c r="AI29" t="s">
        <v>14</v>
      </c>
      <c r="AJ29" s="13"/>
      <c r="AK29" s="13"/>
      <c r="AL29" s="13"/>
      <c r="AO29">
        <v>1900000000000</v>
      </c>
      <c r="AP29">
        <v>0</v>
      </c>
      <c r="AQ29">
        <v>0.28399999999999997</v>
      </c>
      <c r="AR29">
        <v>0</v>
      </c>
      <c r="AS29">
        <v>133.1584</v>
      </c>
      <c r="AT29">
        <v>0</v>
      </c>
      <c r="AU29">
        <v>54.035299999999999</v>
      </c>
      <c r="AV29">
        <v>0</v>
      </c>
      <c r="AW29" s="13">
        <v>1</v>
      </c>
      <c r="AX29" s="13">
        <v>1.7</v>
      </c>
      <c r="AY29" s="13">
        <v>1.2</v>
      </c>
      <c r="BB29" s="13"/>
      <c r="BC29" s="13"/>
      <c r="BD29" s="13"/>
      <c r="BE29" s="13"/>
      <c r="BF29" s="13">
        <v>13.508800000000001</v>
      </c>
      <c r="BG29" s="13"/>
      <c r="BH29" s="13">
        <v>11.579000000000001</v>
      </c>
      <c r="BI29" s="13"/>
      <c r="BJ29" s="13"/>
      <c r="BK29" s="13"/>
      <c r="BL29" s="13"/>
      <c r="BM29" s="13"/>
      <c r="BN29" s="13"/>
    </row>
    <row r="30" spans="1:67" ht="72" x14ac:dyDescent="0.3">
      <c r="A30" t="s">
        <v>298</v>
      </c>
      <c r="B30" s="3" t="s">
        <v>16</v>
      </c>
      <c r="C30" s="16">
        <v>45086</v>
      </c>
      <c r="D30" t="s">
        <v>299</v>
      </c>
      <c r="E30" s="24" t="s">
        <v>293</v>
      </c>
      <c r="F30" s="27" t="s">
        <v>289</v>
      </c>
      <c r="G30" s="7" t="s">
        <v>288</v>
      </c>
      <c r="H30" s="26" t="s">
        <v>290</v>
      </c>
      <c r="I30" s="1" t="s">
        <v>291</v>
      </c>
      <c r="J30" s="3" t="s">
        <v>251</v>
      </c>
      <c r="K30" t="s">
        <v>300</v>
      </c>
      <c r="L30" s="1" t="s">
        <v>251</v>
      </c>
      <c r="O30" t="s">
        <v>254</v>
      </c>
      <c r="P30" t="s">
        <v>256</v>
      </c>
      <c r="Q30" t="s">
        <v>255</v>
      </c>
      <c r="R30" t="s">
        <v>257</v>
      </c>
      <c r="S30" t="s">
        <v>258</v>
      </c>
      <c r="T30" t="s">
        <v>260</v>
      </c>
      <c r="U30" t="s">
        <v>259</v>
      </c>
      <c r="V30" t="s">
        <v>261</v>
      </c>
      <c r="W30" t="s">
        <v>262</v>
      </c>
      <c r="X30" t="s">
        <v>264</v>
      </c>
      <c r="Y30" t="s">
        <v>263</v>
      </c>
      <c r="AB30" s="13" t="s">
        <v>294</v>
      </c>
      <c r="AC30" s="13" t="s">
        <v>294</v>
      </c>
      <c r="AD30" s="13" t="s">
        <v>294</v>
      </c>
      <c r="AE30" s="13" t="s">
        <v>294</v>
      </c>
      <c r="AF30" t="s">
        <v>14</v>
      </c>
      <c r="AG30" t="s">
        <v>14</v>
      </c>
      <c r="AH30" t="s">
        <v>14</v>
      </c>
      <c r="AI30" t="s">
        <v>14</v>
      </c>
      <c r="AJ30" s="13"/>
      <c r="AK30" s="13"/>
      <c r="AL30" s="13"/>
      <c r="AO30">
        <v>483000</v>
      </c>
      <c r="AP30">
        <v>0</v>
      </c>
      <c r="AQ30">
        <v>0</v>
      </c>
      <c r="AR30">
        <v>0</v>
      </c>
      <c r="AS30">
        <v>64.070400000000006</v>
      </c>
      <c r="AT30">
        <v>0</v>
      </c>
      <c r="AU30">
        <v>90.798599999999993</v>
      </c>
      <c r="AV30">
        <v>0</v>
      </c>
      <c r="AW30" s="13">
        <v>1</v>
      </c>
      <c r="AX30" s="13">
        <v>1.7</v>
      </c>
      <c r="AY30" s="13">
        <v>1.2</v>
      </c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7" ht="57.6" x14ac:dyDescent="0.3">
      <c r="A31" t="s">
        <v>301</v>
      </c>
      <c r="B31" s="3" t="s">
        <v>16</v>
      </c>
      <c r="C31" s="16">
        <v>45089</v>
      </c>
      <c r="D31" t="s">
        <v>302</v>
      </c>
      <c r="E31" s="28" t="s">
        <v>303</v>
      </c>
      <c r="F31" s="25" t="s">
        <v>304</v>
      </c>
      <c r="G31" s="7" t="s">
        <v>305</v>
      </c>
      <c r="H31" s="26" t="s">
        <v>306</v>
      </c>
      <c r="I31" s="1" t="s">
        <v>307</v>
      </c>
      <c r="J31" s="3" t="s">
        <v>251</v>
      </c>
      <c r="K31" t="s">
        <v>308</v>
      </c>
      <c r="L31" s="1" t="s">
        <v>251</v>
      </c>
      <c r="O31" t="s">
        <v>254</v>
      </c>
      <c r="P31" t="s">
        <v>256</v>
      </c>
      <c r="Q31" t="s">
        <v>255</v>
      </c>
      <c r="R31" t="s">
        <v>257</v>
      </c>
      <c r="S31" t="s">
        <v>258</v>
      </c>
      <c r="T31" t="s">
        <v>260</v>
      </c>
      <c r="U31" t="s">
        <v>259</v>
      </c>
      <c r="V31" t="s">
        <v>261</v>
      </c>
      <c r="W31" t="s">
        <v>262</v>
      </c>
      <c r="X31" t="s">
        <v>264</v>
      </c>
      <c r="Y31" t="s">
        <v>263</v>
      </c>
      <c r="AB31" s="13" t="s">
        <v>294</v>
      </c>
      <c r="AC31" s="13" t="s">
        <v>294</v>
      </c>
      <c r="AD31" s="13" t="s">
        <v>294</v>
      </c>
      <c r="AE31" s="13" t="s">
        <v>294</v>
      </c>
      <c r="AF31" t="s">
        <v>14</v>
      </c>
      <c r="AG31" t="s">
        <v>14</v>
      </c>
      <c r="AH31" t="s">
        <v>14</v>
      </c>
      <c r="AI31" t="s">
        <v>14</v>
      </c>
      <c r="AJ31" s="13"/>
      <c r="AK31" s="13"/>
      <c r="AL31" s="13"/>
      <c r="AO31">
        <v>483000</v>
      </c>
      <c r="AP31">
        <v>0</v>
      </c>
      <c r="AQ31">
        <v>0</v>
      </c>
      <c r="AR31">
        <v>0</v>
      </c>
      <c r="AS31">
        <v>75.236400000000003</v>
      </c>
      <c r="AT31">
        <v>0</v>
      </c>
      <c r="AU31">
        <v>59.824800000000003</v>
      </c>
      <c r="AV31">
        <v>0</v>
      </c>
      <c r="AW31" s="13">
        <v>1</v>
      </c>
      <c r="AX31" s="13">
        <v>1.7</v>
      </c>
      <c r="AY31" s="13">
        <v>1.2</v>
      </c>
      <c r="BF31">
        <v>8.6999999999999993</v>
      </c>
      <c r="BH31">
        <v>8.6999999999999993</v>
      </c>
    </row>
    <row r="32" spans="1:67" ht="72.599999999999994" x14ac:dyDescent="0.35">
      <c r="A32" t="s">
        <v>309</v>
      </c>
      <c r="B32" s="3" t="s">
        <v>16</v>
      </c>
      <c r="C32" s="16">
        <v>45092</v>
      </c>
      <c r="D32" s="18" t="s">
        <v>310</v>
      </c>
      <c r="E32" s="1" t="s">
        <v>311</v>
      </c>
      <c r="F32" s="29" t="s">
        <v>312</v>
      </c>
      <c r="G32" s="30" t="s">
        <v>313</v>
      </c>
      <c r="H32" s="26" t="s">
        <v>314</v>
      </c>
      <c r="I32" s="1" t="s">
        <v>315</v>
      </c>
      <c r="J32" s="3" t="s">
        <v>316</v>
      </c>
      <c r="L32" s="1" t="s">
        <v>317</v>
      </c>
      <c r="M32" s="7" t="s">
        <v>490</v>
      </c>
      <c r="O32" t="s">
        <v>347</v>
      </c>
      <c r="P32" t="s">
        <v>78</v>
      </c>
      <c r="Q32" t="s">
        <v>350</v>
      </c>
      <c r="R32" t="s">
        <v>318</v>
      </c>
    </row>
    <row r="33" spans="1:67" ht="57.6" x14ac:dyDescent="0.3">
      <c r="A33" t="s">
        <v>330</v>
      </c>
      <c r="B33" s="3" t="s">
        <v>16</v>
      </c>
      <c r="C33" s="16">
        <v>45093</v>
      </c>
      <c r="E33" s="1" t="s">
        <v>331</v>
      </c>
      <c r="F33" t="s">
        <v>329</v>
      </c>
      <c r="H33" s="26" t="s">
        <v>332</v>
      </c>
      <c r="I33" s="1" t="s">
        <v>395</v>
      </c>
      <c r="J33" s="3" t="s">
        <v>74</v>
      </c>
      <c r="L33" s="1" t="s">
        <v>460</v>
      </c>
      <c r="M33" s="7" t="s">
        <v>491</v>
      </c>
      <c r="O33" t="s">
        <v>11</v>
      </c>
      <c r="P33" t="s">
        <v>461</v>
      </c>
      <c r="Q33" t="s">
        <v>79</v>
      </c>
      <c r="AB33" t="s">
        <v>473</v>
      </c>
      <c r="AD33" t="s">
        <v>14</v>
      </c>
      <c r="AP33">
        <v>-4.6550000000000002</v>
      </c>
      <c r="AQ33">
        <v>3704</v>
      </c>
      <c r="AR33">
        <v>0.84299999999999997</v>
      </c>
      <c r="AS33">
        <v>2E-3</v>
      </c>
    </row>
    <row r="34" spans="1:67" ht="129.6" x14ac:dyDescent="0.3">
      <c r="A34" t="s">
        <v>337</v>
      </c>
      <c r="B34" s="3" t="s">
        <v>16</v>
      </c>
      <c r="C34" s="16">
        <v>45093</v>
      </c>
      <c r="D34" t="s">
        <v>340</v>
      </c>
      <c r="E34" t="s">
        <v>339</v>
      </c>
      <c r="F34" t="s">
        <v>338</v>
      </c>
      <c r="G34" t="s">
        <v>341</v>
      </c>
      <c r="H34" s="1" t="s">
        <v>342</v>
      </c>
      <c r="I34" s="1" t="s">
        <v>343</v>
      </c>
      <c r="J34" s="3" t="s">
        <v>344</v>
      </c>
      <c r="L34" s="1" t="s">
        <v>345</v>
      </c>
      <c r="M34" s="7" t="s">
        <v>492</v>
      </c>
      <c r="O34" t="s">
        <v>11</v>
      </c>
      <c r="P34" t="s">
        <v>78</v>
      </c>
      <c r="Q34" t="s">
        <v>71</v>
      </c>
      <c r="R34" t="s">
        <v>79</v>
      </c>
      <c r="AE34" t="s">
        <v>14</v>
      </c>
      <c r="AQ34">
        <v>2</v>
      </c>
      <c r="AR34">
        <v>127.3689</v>
      </c>
    </row>
    <row r="35" spans="1:67" ht="57.6" x14ac:dyDescent="0.3">
      <c r="A35" t="s">
        <v>454</v>
      </c>
      <c r="B35" s="3" t="s">
        <v>16</v>
      </c>
      <c r="C35" s="16">
        <v>45085</v>
      </c>
      <c r="D35" t="s">
        <v>277</v>
      </c>
      <c r="E35" s="26" t="s">
        <v>278</v>
      </c>
      <c r="F35" t="s">
        <v>279</v>
      </c>
      <c r="G35" s="7" t="s">
        <v>280</v>
      </c>
      <c r="H35" s="26" t="s">
        <v>281</v>
      </c>
      <c r="I35" s="1" t="s">
        <v>282</v>
      </c>
      <c r="J35" s="3" t="s">
        <v>251</v>
      </c>
      <c r="K35" t="s">
        <v>283</v>
      </c>
      <c r="L35" s="1" t="s">
        <v>251</v>
      </c>
      <c r="O35" t="s">
        <v>262</v>
      </c>
      <c r="AO35">
        <v>1</v>
      </c>
    </row>
    <row r="36" spans="1:67" ht="72" x14ac:dyDescent="0.3">
      <c r="A36" t="s">
        <v>455</v>
      </c>
      <c r="B36" s="3" t="s">
        <v>16</v>
      </c>
      <c r="C36" s="16">
        <v>45086</v>
      </c>
      <c r="D36" t="s">
        <v>299</v>
      </c>
      <c r="E36" s="24" t="s">
        <v>293</v>
      </c>
      <c r="F36" s="27" t="s">
        <v>289</v>
      </c>
      <c r="G36" s="7" t="s">
        <v>288</v>
      </c>
      <c r="H36" s="26" t="s">
        <v>290</v>
      </c>
      <c r="I36" s="1" t="s">
        <v>291</v>
      </c>
      <c r="J36" s="3" t="s">
        <v>251</v>
      </c>
      <c r="K36" t="s">
        <v>300</v>
      </c>
      <c r="L36" s="1" t="s">
        <v>251</v>
      </c>
      <c r="O36" t="s">
        <v>263</v>
      </c>
      <c r="AO36">
        <v>1.2</v>
      </c>
    </row>
    <row r="37" spans="1:67" ht="129.6" x14ac:dyDescent="0.3">
      <c r="A37" s="7" t="s">
        <v>456</v>
      </c>
      <c r="B37" s="3" t="s">
        <v>16</v>
      </c>
      <c r="C37" s="17">
        <v>45072</v>
      </c>
      <c r="D37" s="7" t="s">
        <v>248</v>
      </c>
      <c r="E37" s="3" t="s">
        <v>246</v>
      </c>
      <c r="F37" s="3" t="s">
        <v>247</v>
      </c>
      <c r="G37" s="7" t="s">
        <v>249</v>
      </c>
      <c r="H37" s="3" t="s">
        <v>346</v>
      </c>
      <c r="I37" s="3" t="s">
        <v>250</v>
      </c>
      <c r="J37" s="3" t="s">
        <v>251</v>
      </c>
      <c r="K37" s="7" t="s">
        <v>253</v>
      </c>
      <c r="L37" s="3" t="s">
        <v>251</v>
      </c>
      <c r="O37" t="s">
        <v>264</v>
      </c>
      <c r="AO37">
        <v>1.7</v>
      </c>
    </row>
    <row r="38" spans="1:67" ht="72" x14ac:dyDescent="0.3">
      <c r="A38" t="s">
        <v>494</v>
      </c>
      <c r="B38" s="3" t="s">
        <v>51</v>
      </c>
      <c r="C38" s="12">
        <v>45702</v>
      </c>
      <c r="D38" s="8" t="s">
        <v>89</v>
      </c>
      <c r="E38" s="1" t="s">
        <v>66</v>
      </c>
      <c r="F38" s="6" t="s">
        <v>67</v>
      </c>
      <c r="G38" s="7" t="s">
        <v>88</v>
      </c>
      <c r="H38" s="3" t="s">
        <v>495</v>
      </c>
      <c r="I38" s="3" t="s">
        <v>68</v>
      </c>
      <c r="J38" s="3" t="s">
        <v>496</v>
      </c>
      <c r="L38" s="3" t="s">
        <v>70</v>
      </c>
      <c r="M38" s="7" t="s">
        <v>478</v>
      </c>
      <c r="O38" s="3" t="s">
        <v>11</v>
      </c>
      <c r="P38" s="7" t="s">
        <v>78</v>
      </c>
      <c r="Q38" s="7" t="s">
        <v>79</v>
      </c>
      <c r="R38" s="3" t="s">
        <v>71</v>
      </c>
      <c r="S38" s="3" t="s">
        <v>72</v>
      </c>
      <c r="AB38" s="3" t="s">
        <v>13</v>
      </c>
      <c r="AC38" s="4" t="s">
        <v>13</v>
      </c>
      <c r="AD38" s="3" t="s">
        <v>14</v>
      </c>
      <c r="AQ38" s="3">
        <v>38.700000000000003</v>
      </c>
      <c r="AS38">
        <v>0.49</v>
      </c>
      <c r="BD38">
        <v>21.7</v>
      </c>
      <c r="BF38">
        <v>0.22</v>
      </c>
      <c r="BO38" t="s">
        <v>497</v>
      </c>
    </row>
    <row r="39" spans="1:67" x14ac:dyDescent="0.3">
      <c r="J39" s="3"/>
    </row>
    <row r="40" spans="1:67" x14ac:dyDescent="0.3">
      <c r="J40" s="3"/>
    </row>
    <row r="41" spans="1:67" x14ac:dyDescent="0.3">
      <c r="J41" s="3"/>
    </row>
  </sheetData>
  <mergeCells count="5">
    <mergeCell ref="BO2:BO3"/>
    <mergeCell ref="O2:AA2"/>
    <mergeCell ref="AB2:AN2"/>
    <mergeCell ref="AO2:BA2"/>
    <mergeCell ref="BB2:BN2"/>
  </mergeCells>
  <phoneticPr fontId="2" type="noConversion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EDBF-2F01-486C-9B0C-A626BE630F30}">
  <sheetPr codeName="Sheet2"/>
  <dimension ref="A1:G14"/>
  <sheetViews>
    <sheetView workbookViewId="0">
      <selection activeCell="D10" sqref="D10"/>
    </sheetView>
  </sheetViews>
  <sheetFormatPr defaultRowHeight="14.4" x14ac:dyDescent="0.3"/>
  <cols>
    <col min="1" max="1" width="16.77734375" customWidth="1"/>
    <col min="2" max="2" width="32.44140625" customWidth="1"/>
    <col min="3" max="6" width="21.21875" customWidth="1"/>
    <col min="7" max="7" width="28.21875" customWidth="1"/>
  </cols>
  <sheetData>
    <row r="1" spans="1:7" x14ac:dyDescent="0.3">
      <c r="A1" t="s">
        <v>22</v>
      </c>
      <c r="B1" t="s">
        <v>26</v>
      </c>
      <c r="C1" t="s">
        <v>27</v>
      </c>
      <c r="D1" t="s">
        <v>26</v>
      </c>
      <c r="F1" t="s">
        <v>458</v>
      </c>
    </row>
    <row r="2" spans="1:7" x14ac:dyDescent="0.3">
      <c r="A2" t="s">
        <v>459</v>
      </c>
      <c r="B2" t="s">
        <v>24</v>
      </c>
      <c r="C2" t="s">
        <v>25</v>
      </c>
    </row>
    <row r="3" spans="1:7" x14ac:dyDescent="0.3">
      <c r="A3" t="s">
        <v>23</v>
      </c>
      <c r="B3" t="s">
        <v>24</v>
      </c>
      <c r="C3" t="s">
        <v>32</v>
      </c>
    </row>
    <row r="4" spans="1:7" x14ac:dyDescent="0.3">
      <c r="A4" t="s">
        <v>28</v>
      </c>
      <c r="B4" t="s">
        <v>29</v>
      </c>
      <c r="C4" t="s">
        <v>30</v>
      </c>
      <c r="G4" t="s">
        <v>54</v>
      </c>
    </row>
    <row r="5" spans="1:7" x14ac:dyDescent="0.3">
      <c r="A5" t="s">
        <v>55</v>
      </c>
      <c r="B5" t="s">
        <v>56</v>
      </c>
      <c r="C5" t="s">
        <v>30</v>
      </c>
      <c r="G5" t="s">
        <v>57</v>
      </c>
    </row>
    <row r="6" spans="1:7" x14ac:dyDescent="0.3">
      <c r="A6" t="s">
        <v>58</v>
      </c>
      <c r="B6" t="s">
        <v>56</v>
      </c>
      <c r="C6" t="s">
        <v>59</v>
      </c>
      <c r="G6" t="s">
        <v>60</v>
      </c>
    </row>
    <row r="7" spans="1:7" x14ac:dyDescent="0.3">
      <c r="A7" t="s">
        <v>61</v>
      </c>
      <c r="B7" t="s">
        <v>56</v>
      </c>
      <c r="C7" t="s">
        <v>30</v>
      </c>
      <c r="G7" t="s">
        <v>62</v>
      </c>
    </row>
    <row r="8" spans="1:7" x14ac:dyDescent="0.3">
      <c r="A8" t="s">
        <v>122</v>
      </c>
      <c r="B8" t="s">
        <v>56</v>
      </c>
      <c r="C8" t="s">
        <v>120</v>
      </c>
      <c r="G8" t="s">
        <v>457</v>
      </c>
    </row>
    <row r="9" spans="1:7" x14ac:dyDescent="0.3">
      <c r="A9" t="s">
        <v>33</v>
      </c>
      <c r="B9" t="s">
        <v>34</v>
      </c>
      <c r="C9" t="s">
        <v>35</v>
      </c>
    </row>
    <row r="10" spans="1:7" x14ac:dyDescent="0.3">
      <c r="A10" t="s">
        <v>48</v>
      </c>
      <c r="B10" t="s">
        <v>49</v>
      </c>
      <c r="C10" t="s">
        <v>50</v>
      </c>
    </row>
    <row r="11" spans="1:7" x14ac:dyDescent="0.3">
      <c r="A11" s="11" t="s">
        <v>252</v>
      </c>
      <c r="B11" t="s">
        <v>149</v>
      </c>
      <c r="C11" t="s">
        <v>50</v>
      </c>
    </row>
    <row r="12" spans="1:7" x14ac:dyDescent="0.3">
      <c r="A12" s="11" t="s">
        <v>318</v>
      </c>
      <c r="B12" t="s">
        <v>319</v>
      </c>
      <c r="C12" t="s">
        <v>320</v>
      </c>
    </row>
    <row r="13" spans="1:7" x14ac:dyDescent="0.3">
      <c r="A13" s="11" t="s">
        <v>321</v>
      </c>
      <c r="B13" t="s">
        <v>322</v>
      </c>
    </row>
    <row r="14" spans="1:7" x14ac:dyDescent="0.3">
      <c r="A14" s="11" t="s">
        <v>335</v>
      </c>
      <c r="B14" t="s">
        <v>336</v>
      </c>
      <c r="C14" t="s">
        <v>25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D7A2-624D-491E-995D-9074830957EE}">
  <sheetPr codeName="Sheet3"/>
  <dimension ref="A1:B28"/>
  <sheetViews>
    <sheetView workbookViewId="0">
      <selection activeCell="A7" sqref="A7:B17"/>
    </sheetView>
  </sheetViews>
  <sheetFormatPr defaultRowHeight="14.4" x14ac:dyDescent="0.3"/>
  <cols>
    <col min="1" max="1" width="13.21875" customWidth="1"/>
    <col min="2" max="2" width="38.77734375" customWidth="1"/>
  </cols>
  <sheetData>
    <row r="1" spans="1:2" x14ac:dyDescent="0.3">
      <c r="A1" t="s">
        <v>81</v>
      </c>
      <c r="B1" t="s">
        <v>82</v>
      </c>
    </row>
    <row r="2" spans="1:2" x14ac:dyDescent="0.3">
      <c r="A2" t="s">
        <v>78</v>
      </c>
      <c r="B2" t="s">
        <v>83</v>
      </c>
    </row>
    <row r="3" spans="1:2" x14ac:dyDescent="0.3">
      <c r="A3" t="s">
        <v>11</v>
      </c>
      <c r="B3" t="s">
        <v>84</v>
      </c>
    </row>
    <row r="4" spans="1:2" x14ac:dyDescent="0.3">
      <c r="A4" t="s">
        <v>79</v>
      </c>
      <c r="B4" t="s">
        <v>85</v>
      </c>
    </row>
    <row r="5" spans="1:2" x14ac:dyDescent="0.3">
      <c r="A5" t="s">
        <v>107</v>
      </c>
      <c r="B5" t="s">
        <v>108</v>
      </c>
    </row>
    <row r="6" spans="1:2" x14ac:dyDescent="0.3">
      <c r="A6" t="s">
        <v>148</v>
      </c>
      <c r="B6" t="s">
        <v>144</v>
      </c>
    </row>
    <row r="7" spans="1:2" x14ac:dyDescent="0.3">
      <c r="A7" s="11" t="s">
        <v>254</v>
      </c>
      <c r="B7" t="s">
        <v>284</v>
      </c>
    </row>
    <row r="8" spans="1:2" x14ac:dyDescent="0.3">
      <c r="A8" s="11" t="s">
        <v>255</v>
      </c>
      <c r="B8" t="s">
        <v>284</v>
      </c>
    </row>
    <row r="9" spans="1:2" x14ac:dyDescent="0.3">
      <c r="A9" s="11" t="s">
        <v>256</v>
      </c>
      <c r="B9" t="s">
        <v>284</v>
      </c>
    </row>
    <row r="10" spans="1:2" x14ac:dyDescent="0.3">
      <c r="A10" s="11" t="s">
        <v>257</v>
      </c>
      <c r="B10" t="s">
        <v>284</v>
      </c>
    </row>
    <row r="11" spans="1:2" x14ac:dyDescent="0.3">
      <c r="A11" s="11" t="s">
        <v>258</v>
      </c>
      <c r="B11" t="s">
        <v>265</v>
      </c>
    </row>
    <row r="12" spans="1:2" x14ac:dyDescent="0.3">
      <c r="A12" s="11" t="s">
        <v>259</v>
      </c>
      <c r="B12" t="s">
        <v>266</v>
      </c>
    </row>
    <row r="13" spans="1:2" x14ac:dyDescent="0.3">
      <c r="A13" s="11" t="s">
        <v>260</v>
      </c>
      <c r="B13" t="s">
        <v>267</v>
      </c>
    </row>
    <row r="14" spans="1:2" x14ac:dyDescent="0.3">
      <c r="A14" s="11" t="s">
        <v>261</v>
      </c>
      <c r="B14" t="s">
        <v>268</v>
      </c>
    </row>
    <row r="15" spans="1:2" x14ac:dyDescent="0.3">
      <c r="A15" s="11" t="s">
        <v>262</v>
      </c>
      <c r="B15" t="s">
        <v>285</v>
      </c>
    </row>
    <row r="16" spans="1:2" x14ac:dyDescent="0.3">
      <c r="A16" s="11" t="s">
        <v>263</v>
      </c>
      <c r="B16" t="s">
        <v>285</v>
      </c>
    </row>
    <row r="17" spans="1:2" x14ac:dyDescent="0.3">
      <c r="A17" s="11" t="s">
        <v>264</v>
      </c>
      <c r="B17" t="s">
        <v>285</v>
      </c>
    </row>
    <row r="21" spans="1:2" x14ac:dyDescent="0.3">
      <c r="A21" s="11" t="s">
        <v>323</v>
      </c>
      <c r="B21" t="s">
        <v>324</v>
      </c>
    </row>
    <row r="22" spans="1:2" x14ac:dyDescent="0.3">
      <c r="A22" s="11" t="s">
        <v>325</v>
      </c>
      <c r="B22" t="s">
        <v>327</v>
      </c>
    </row>
    <row r="23" spans="1:2" x14ac:dyDescent="0.3">
      <c r="A23" s="11" t="s">
        <v>326</v>
      </c>
      <c r="B23" t="s">
        <v>328</v>
      </c>
    </row>
    <row r="24" spans="1:2" x14ac:dyDescent="0.3">
      <c r="A24" s="11" t="s">
        <v>334</v>
      </c>
      <c r="B24" t="s">
        <v>333</v>
      </c>
    </row>
    <row r="25" spans="1:2" x14ac:dyDescent="0.3">
      <c r="A25" s="11" t="s">
        <v>348</v>
      </c>
      <c r="B25" t="s">
        <v>349</v>
      </c>
    </row>
    <row r="26" spans="1:2" x14ac:dyDescent="0.3">
      <c r="A26" t="s">
        <v>98</v>
      </c>
      <c r="B26" t="s">
        <v>109</v>
      </c>
    </row>
    <row r="27" spans="1:2" x14ac:dyDescent="0.3">
      <c r="A27" s="11" t="s">
        <v>156</v>
      </c>
      <c r="B27" t="s">
        <v>157</v>
      </c>
    </row>
    <row r="28" spans="1:2" x14ac:dyDescent="0.3">
      <c r="A28" s="11" t="s">
        <v>158</v>
      </c>
      <c r="B28" t="s">
        <v>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B52F-284F-44F6-8EAD-FC2DE4081C8E}">
  <sheetPr codeName="Sheet4"/>
  <dimension ref="R1:T63"/>
  <sheetViews>
    <sheetView workbookViewId="0">
      <selection activeCell="T11" sqref="T11"/>
    </sheetView>
  </sheetViews>
  <sheetFormatPr defaultRowHeight="14.4" x14ac:dyDescent="0.3"/>
  <sheetData>
    <row r="1" spans="18:20" s="2" customFormat="1" x14ac:dyDescent="0.3"/>
    <row r="2" spans="18:20" s="2" customFormat="1" x14ac:dyDescent="0.3"/>
    <row r="3" spans="18:20" s="2" customFormat="1" x14ac:dyDescent="0.3"/>
    <row r="4" spans="18:20" s="2" customFormat="1" x14ac:dyDescent="0.3"/>
    <row r="5" spans="18:20" s="2" customFormat="1" x14ac:dyDescent="0.3"/>
    <row r="6" spans="18:20" s="2" customFormat="1" x14ac:dyDescent="0.3"/>
    <row r="7" spans="18:20" s="2" customFormat="1" x14ac:dyDescent="0.3"/>
    <row r="8" spans="18:20" s="2" customFormat="1" ht="92.4" x14ac:dyDescent="4.5999999999999996">
      <c r="R8" s="61" t="s">
        <v>498</v>
      </c>
    </row>
    <row r="9" spans="18:20" s="2" customFormat="1" x14ac:dyDescent="0.3"/>
    <row r="10" spans="18:20" s="2" customFormat="1" x14ac:dyDescent="0.3"/>
    <row r="11" spans="18:20" s="2" customFormat="1" x14ac:dyDescent="0.3">
      <c r="T11" s="62" t="s">
        <v>499</v>
      </c>
    </row>
    <row r="12" spans="18:20" s="9" customFormat="1" x14ac:dyDescent="0.3"/>
    <row r="13" spans="18:20" s="9" customFormat="1" x14ac:dyDescent="0.3"/>
    <row r="14" spans="18:20" s="2" customFormat="1" x14ac:dyDescent="0.3"/>
    <row r="15" spans="18:20" s="2" customFormat="1" x14ac:dyDescent="0.3"/>
    <row r="16" spans="18:20" s="2" customFormat="1" x14ac:dyDescent="0.3"/>
    <row r="17" s="2" customFormat="1" x14ac:dyDescent="0.3"/>
    <row r="18" s="2" customFormat="1" x14ac:dyDescent="0.3"/>
    <row r="19" s="2" customFormat="1" x14ac:dyDescent="0.3"/>
    <row r="20" s="2" customFormat="1" x14ac:dyDescent="0.3"/>
    <row r="21" s="2" customFormat="1" x14ac:dyDescent="0.3"/>
    <row r="22" s="2" customFormat="1" x14ac:dyDescent="0.3"/>
    <row r="23" s="2" customFormat="1" x14ac:dyDescent="0.3"/>
    <row r="24" s="2" customFormat="1" x14ac:dyDescent="0.3"/>
    <row r="25" s="2" customFormat="1" x14ac:dyDescent="0.3"/>
    <row r="26" s="2" customFormat="1" x14ac:dyDescent="0.3"/>
    <row r="27" s="2" customFormat="1" x14ac:dyDescent="0.3"/>
    <row r="28" s="2" customFormat="1" x14ac:dyDescent="0.3"/>
    <row r="29" s="2" customFormat="1" x14ac:dyDescent="0.3"/>
    <row r="30" s="2" customFormat="1" x14ac:dyDescent="0.3"/>
    <row r="31" s="2" customFormat="1" x14ac:dyDescent="0.3"/>
    <row r="32" s="2" customFormat="1" x14ac:dyDescent="0.3"/>
    <row r="33" s="2" customFormat="1" x14ac:dyDescent="0.3"/>
    <row r="34" s="2" customFormat="1" x14ac:dyDescent="0.3"/>
    <row r="35" s="2" customFormat="1" x14ac:dyDescent="0.3"/>
    <row r="36" s="2" customFormat="1" x14ac:dyDescent="0.3"/>
    <row r="37" s="2" customFormat="1" x14ac:dyDescent="0.3"/>
    <row r="38" s="2" customFormat="1" x14ac:dyDescent="0.3"/>
    <row r="39" s="2" customFormat="1" x14ac:dyDescent="0.3"/>
    <row r="40" s="2" customFormat="1" x14ac:dyDescent="0.3"/>
    <row r="41" s="2" customFormat="1" x14ac:dyDescent="0.3"/>
    <row r="42" s="2" customFormat="1" x14ac:dyDescent="0.3"/>
    <row r="43" s="2" customFormat="1" x14ac:dyDescent="0.3"/>
    <row r="44" s="2" customFormat="1" x14ac:dyDescent="0.3"/>
    <row r="45" s="2" customFormat="1" x14ac:dyDescent="0.3"/>
    <row r="46" s="2" customFormat="1" x14ac:dyDescent="0.3"/>
    <row r="47" s="2" customFormat="1" x14ac:dyDescent="0.3"/>
    <row r="48" s="2" customFormat="1" x14ac:dyDescent="0.3"/>
    <row r="49" s="2" customFormat="1" x14ac:dyDescent="0.3"/>
    <row r="50" s="2" customFormat="1" x14ac:dyDescent="0.3"/>
    <row r="51" s="2" customFormat="1" x14ac:dyDescent="0.3"/>
    <row r="52" s="2" customFormat="1" x14ac:dyDescent="0.3"/>
    <row r="53" s="2" customFormat="1" x14ac:dyDescent="0.3"/>
    <row r="54" s="2" customFormat="1" x14ac:dyDescent="0.3"/>
    <row r="55" s="2" customFormat="1" x14ac:dyDescent="0.3"/>
    <row r="56" s="2" customFormat="1" x14ac:dyDescent="0.3"/>
    <row r="57" s="2" customFormat="1" x14ac:dyDescent="0.3"/>
    <row r="58" s="2" customFormat="1" x14ac:dyDescent="0.3"/>
    <row r="59" s="2" customFormat="1" x14ac:dyDescent="0.3"/>
    <row r="60" s="2" customFormat="1" x14ac:dyDescent="0.3"/>
    <row r="61" s="2" customFormat="1" x14ac:dyDescent="0.3"/>
    <row r="62" s="2" customFormat="1" x14ac:dyDescent="0.3"/>
    <row r="63" s="2" customFormat="1" x14ac:dyDescent="0.3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945FD-EE38-42E9-87C8-9A39EE7EF7BB}">
  <sheetPr codeName="Sheet7"/>
  <dimension ref="A1:D2"/>
  <sheetViews>
    <sheetView workbookViewId="0">
      <selection activeCell="C2" sqref="C2"/>
    </sheetView>
  </sheetViews>
  <sheetFormatPr defaultRowHeight="14.4" x14ac:dyDescent="0.3"/>
  <cols>
    <col min="1" max="1" width="9.44140625" customWidth="1"/>
    <col min="2" max="2" width="21" bestFit="1" customWidth="1"/>
    <col min="3" max="3" width="14.21875" customWidth="1"/>
  </cols>
  <sheetData>
    <row r="1" spans="1:4" x14ac:dyDescent="0.3">
      <c r="A1" t="s">
        <v>150</v>
      </c>
      <c r="B1" t="s">
        <v>151</v>
      </c>
      <c r="C1" t="s">
        <v>152</v>
      </c>
      <c r="D1">
        <v>8.3144626115324005</v>
      </c>
    </row>
    <row r="2" spans="1:4" x14ac:dyDescent="0.3">
      <c r="A2" t="s">
        <v>295</v>
      </c>
      <c r="B2" t="s">
        <v>296</v>
      </c>
      <c r="C2" t="s">
        <v>297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D38-F332-4429-8C84-09AAF8342ADD}">
  <sheetPr codeName="Sheet6"/>
  <dimension ref="A1:A2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110</v>
      </c>
    </row>
    <row r="2" spans="1:1" x14ac:dyDescent="0.3">
      <c r="A2" s="10" t="s">
        <v>111</v>
      </c>
    </row>
  </sheetData>
  <hyperlinks>
    <hyperlink ref="A2" r:id="rId1" display="https://gcc02.safelinks.protection.outlook.com/?url=https%3A%2F%2Fwww.sympy.org%2Fen%2Ffeatures.html&amp;data=05%7C01%7CMichael.Kempe%40nrel.gov%7Cc9d733cbe06b4816b1ce08db256cc395%7Ca0f29d7e28cd4f5484427885aee7c080%7C0%7C0%7C638144921315085936%7CUnknown%7CTWFpbGZsb3d8eyJWIjoiMC4wLjAwMDAiLCJQIjoiV2luMzIiLCJBTiI6Ik1haWwiLCJXVCI6Mn0%3D%7C3000%7C%7C%7C&amp;sdata=2PKbCFgyHnIOQuLK03dw%2BHJidsQhTjoYfrFcEJEq4DI%3D&amp;reserved=0" xr:uid="{EBC66BF2-607C-4132-9EA8-6E4311ED6A5C}"/>
  </hyperlink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5D08D-675D-492B-A81F-C133477107E1}">
  <sheetPr codeName="Sheet5"/>
  <dimension ref="A1:S85"/>
  <sheetViews>
    <sheetView tabSelected="1" workbookViewId="0">
      <pane ySplit="3" topLeftCell="A4" activePane="bottomLeft" state="frozen"/>
      <selection activeCell="D35" sqref="D35"/>
      <selection pane="bottomLeft" activeCell="L7" sqref="L7"/>
    </sheetView>
  </sheetViews>
  <sheetFormatPr defaultRowHeight="14.4" x14ac:dyDescent="0.3"/>
  <cols>
    <col min="1" max="1" width="21.5546875" customWidth="1"/>
    <col min="2" max="2" width="38.21875" customWidth="1"/>
    <col min="3" max="3" width="16.21875" customWidth="1"/>
    <col min="9" max="9" width="12.21875" customWidth="1"/>
    <col min="10" max="10" width="16.21875" customWidth="1"/>
    <col min="17" max="17" width="21.5546875" customWidth="1"/>
    <col min="18" max="18" width="28.21875" customWidth="1"/>
    <col min="19" max="19" width="16.21875" customWidth="1"/>
  </cols>
  <sheetData>
    <row r="1" spans="1:19" x14ac:dyDescent="0.3">
      <c r="A1" s="58" t="s">
        <v>463</v>
      </c>
      <c r="B1" s="58" t="s">
        <v>26</v>
      </c>
      <c r="C1" s="58" t="s">
        <v>353</v>
      </c>
      <c r="D1" s="58" t="s">
        <v>354</v>
      </c>
      <c r="E1" s="58"/>
      <c r="F1" s="58" t="s">
        <v>355</v>
      </c>
      <c r="G1" s="58"/>
      <c r="H1" s="58" t="s">
        <v>356</v>
      </c>
      <c r="I1" s="58"/>
      <c r="J1" s="38" t="s">
        <v>4</v>
      </c>
      <c r="K1" s="38" t="s">
        <v>202</v>
      </c>
      <c r="L1" s="38" t="s">
        <v>77</v>
      </c>
      <c r="Q1" s="58" t="s">
        <v>351</v>
      </c>
      <c r="R1" s="58" t="s">
        <v>352</v>
      </c>
      <c r="S1" s="58" t="s">
        <v>353</v>
      </c>
    </row>
    <row r="2" spans="1:19" s="1" customFormat="1" ht="27" x14ac:dyDescent="0.3">
      <c r="B2" s="58"/>
      <c r="C2" s="58"/>
      <c r="D2" s="35" t="s">
        <v>85</v>
      </c>
      <c r="E2" s="36" t="s">
        <v>109</v>
      </c>
      <c r="F2" s="35" t="s">
        <v>85</v>
      </c>
      <c r="G2" s="36" t="s">
        <v>109</v>
      </c>
      <c r="H2" s="35" t="s">
        <v>85</v>
      </c>
      <c r="I2" s="36" t="s">
        <v>109</v>
      </c>
      <c r="Q2" s="58"/>
      <c r="R2" s="58"/>
      <c r="S2" s="58"/>
    </row>
    <row r="3" spans="1:19" ht="18" x14ac:dyDescent="0.3">
      <c r="A3" s="58"/>
      <c r="B3" s="58"/>
      <c r="C3" s="58"/>
      <c r="D3" s="37" t="s">
        <v>357</v>
      </c>
      <c r="E3" s="37" t="s">
        <v>358</v>
      </c>
      <c r="F3" s="37" t="s">
        <v>357</v>
      </c>
      <c r="G3" s="37" t="s">
        <v>501</v>
      </c>
      <c r="H3" s="37" t="s">
        <v>357</v>
      </c>
      <c r="I3" s="37" t="s">
        <v>500</v>
      </c>
      <c r="Q3" s="58"/>
      <c r="R3" s="58"/>
      <c r="S3" s="58"/>
    </row>
    <row r="4" spans="1:19" x14ac:dyDescent="0.3">
      <c r="A4" s="39" t="s">
        <v>361</v>
      </c>
      <c r="B4" s="34" t="s">
        <v>464</v>
      </c>
      <c r="C4" s="34" t="s">
        <v>353</v>
      </c>
      <c r="D4" s="34">
        <f>+'[1]VHB 5047'!B24</f>
        <v>45.475252221919924</v>
      </c>
      <c r="E4" s="34">
        <f>+'[1]VHB 5047'!C24</f>
        <v>9.4382760493347231</v>
      </c>
      <c r="F4" s="34">
        <f>+'[1]VHB 5047'!E24</f>
        <v>9.112070593088692</v>
      </c>
      <c r="G4" s="34">
        <f>+'[1]VHB 5047'!F24</f>
        <v>0.25069802638227373</v>
      </c>
      <c r="H4" s="34">
        <f>+'[1]VHB 5047'!H24</f>
        <v>54.587322815008605</v>
      </c>
      <c r="I4" s="34">
        <f>+'[1]VHB 5047'!I24</f>
        <v>20443598018.086681</v>
      </c>
      <c r="J4" t="s">
        <v>363</v>
      </c>
      <c r="Q4" s="39" t="s">
        <v>361</v>
      </c>
      <c r="R4" s="34" t="s">
        <v>362</v>
      </c>
      <c r="S4" s="34" t="s">
        <v>353</v>
      </c>
    </row>
    <row r="5" spans="1:19" x14ac:dyDescent="0.3">
      <c r="A5" s="39" t="s">
        <v>462</v>
      </c>
      <c r="B5" s="34" t="s">
        <v>364</v>
      </c>
      <c r="C5" s="34" t="s">
        <v>353</v>
      </c>
      <c r="D5" s="40">
        <f>+[1]AAA!B29</f>
        <v>61.478142233056175</v>
      </c>
      <c r="E5" s="40">
        <f>+[1]AAA!C29</f>
        <v>25790.602026244887</v>
      </c>
      <c r="F5" s="40">
        <f>+[1]AAA!E29</f>
        <v>5.8875226348535286</v>
      </c>
      <c r="G5" s="40">
        <f>+[1]AAA!F29</f>
        <v>9.8224243541673688E-3</v>
      </c>
      <c r="H5" s="40">
        <f>+[1]AAA!H29</f>
        <v>67.365664867909715</v>
      </c>
      <c r="I5" s="41">
        <f>+[1]AAA!I29</f>
        <v>5559396276.609642</v>
      </c>
      <c r="J5" t="s">
        <v>363</v>
      </c>
      <c r="Q5" s="39" t="s">
        <v>462</v>
      </c>
      <c r="R5" s="34" t="s">
        <v>364</v>
      </c>
      <c r="S5" s="34" t="s">
        <v>353</v>
      </c>
    </row>
    <row r="6" spans="1:19" x14ac:dyDescent="0.3">
      <c r="A6" s="39" t="s">
        <v>365</v>
      </c>
      <c r="B6" s="34" t="s">
        <v>366</v>
      </c>
      <c r="C6" s="34" t="s">
        <v>353</v>
      </c>
      <c r="D6" s="34">
        <f>+[1]Coveme!D23</f>
        <v>47.519172112037843</v>
      </c>
      <c r="E6" s="34">
        <f>+[1]Coveme!E23</f>
        <v>1.3188454120863595</v>
      </c>
      <c r="F6" s="34">
        <f>+[1]Coveme!G23</f>
        <v>11.337790824728357</v>
      </c>
      <c r="G6" s="34">
        <f>+[1]Coveme!H23</f>
        <v>0.53540550732342007</v>
      </c>
      <c r="H6" s="34">
        <f>+[1]Coveme!J23</f>
        <v>58.856962936766173</v>
      </c>
      <c r="I6" s="34">
        <f>+[1]Coveme!K23</f>
        <v>6100851717.5552225</v>
      </c>
      <c r="J6" t="s">
        <v>363</v>
      </c>
      <c r="Q6" s="39" t="s">
        <v>365</v>
      </c>
      <c r="R6" s="34" t="s">
        <v>366</v>
      </c>
      <c r="S6" s="34" t="s">
        <v>353</v>
      </c>
    </row>
    <row r="7" spans="1:19" x14ac:dyDescent="0.3">
      <c r="A7" s="39" t="s">
        <v>367</v>
      </c>
      <c r="B7" s="34" t="s">
        <v>464</v>
      </c>
      <c r="C7" s="34" t="s">
        <v>353</v>
      </c>
      <c r="D7" s="34">
        <f>+'[1]VHB 5952'!B28</f>
        <v>40.475393230961025</v>
      </c>
      <c r="E7" s="34">
        <f>+'[1]VHB 5952'!C28</f>
        <v>5.1509892107900486</v>
      </c>
      <c r="F7" s="34">
        <f>+'[1]VHB 5952'!E28</f>
        <v>24.073906451765396</v>
      </c>
      <c r="G7" s="34">
        <f>+'[1]VHB 5952'!F28</f>
        <v>53.274828409322787</v>
      </c>
      <c r="H7" s="34">
        <f>+'[1]VHB 5952'!H28</f>
        <v>60.901412990104014</v>
      </c>
      <c r="I7" s="34">
        <f>+'[1]VHB 5952'!I28</f>
        <v>568214581700.16455</v>
      </c>
      <c r="J7" t="s">
        <v>363</v>
      </c>
      <c r="L7" s="60"/>
      <c r="Q7" s="39" t="s">
        <v>367</v>
      </c>
      <c r="R7" s="34" t="s">
        <v>368</v>
      </c>
      <c r="S7" s="34" t="s">
        <v>353</v>
      </c>
    </row>
    <row r="8" spans="1:19" x14ac:dyDescent="0.3">
      <c r="A8" s="39" t="s">
        <v>369</v>
      </c>
      <c r="B8" s="34" t="s">
        <v>465</v>
      </c>
      <c r="C8" s="34"/>
      <c r="D8" s="42"/>
      <c r="E8" s="42"/>
      <c r="F8" s="42"/>
      <c r="G8" s="42"/>
      <c r="H8" s="34">
        <f>+'[1]BRP C'!J25</f>
        <v>70.242521549621571</v>
      </c>
      <c r="I8" s="34">
        <f>+'[1]BRP C'!K25</f>
        <v>1172612706438.0886</v>
      </c>
      <c r="J8" t="s">
        <v>363</v>
      </c>
      <c r="Q8" s="39" t="s">
        <v>369</v>
      </c>
      <c r="R8" s="34" t="s">
        <v>370</v>
      </c>
      <c r="S8" s="34"/>
    </row>
    <row r="9" spans="1:19" ht="26.4" x14ac:dyDescent="0.3">
      <c r="A9" s="39" t="s">
        <v>371</v>
      </c>
      <c r="B9" s="36" t="s">
        <v>466</v>
      </c>
      <c r="C9" s="34" t="s">
        <v>373</v>
      </c>
      <c r="D9" s="43">
        <f>+[1]Surlyn!D26</f>
        <v>75.412172088128472</v>
      </c>
      <c r="E9" s="43">
        <f>+[1]Surlyn!E26</f>
        <v>154974.65864981848</v>
      </c>
      <c r="F9" s="43">
        <f>+[1]Surlyn!G26</f>
        <v>9.9931155345384255</v>
      </c>
      <c r="G9" s="43">
        <f>+[1]Surlyn!H26</f>
        <v>9.7728848933778076E-2</v>
      </c>
      <c r="H9" s="34">
        <f>+[1]Surlyn!J26</f>
        <v>85.405287622666918</v>
      </c>
      <c r="I9" s="34">
        <f>+[1]Surlyn!K26</f>
        <v>130857076832417.78</v>
      </c>
      <c r="J9" t="s">
        <v>363</v>
      </c>
      <c r="Q9" s="39" t="s">
        <v>371</v>
      </c>
      <c r="R9" s="34" t="s">
        <v>372</v>
      </c>
      <c r="S9" s="34" t="s">
        <v>373</v>
      </c>
    </row>
    <row r="10" spans="1:19" ht="48" customHeight="1" x14ac:dyDescent="0.3">
      <c r="A10" s="44" t="s">
        <v>374</v>
      </c>
      <c r="B10" s="34" t="s">
        <v>467</v>
      </c>
      <c r="C10" s="34" t="s">
        <v>353</v>
      </c>
      <c r="D10" s="34">
        <f>+[1]TPU!B19</f>
        <v>46.661959498086915</v>
      </c>
      <c r="E10" s="34">
        <f>+[1]TPU!C19</f>
        <v>40.519181381529037</v>
      </c>
      <c r="F10" s="34">
        <f>+[1]TPU!E19</f>
        <v>15.536513088053654</v>
      </c>
      <c r="G10" s="34">
        <f>+[1]TPU!F19</f>
        <v>7.3276987072226145</v>
      </c>
      <c r="H10" s="34">
        <f>+[1]TPU!H19</f>
        <v>62.198472586140561</v>
      </c>
      <c r="I10" s="34">
        <f>+[1]TPU!I19</f>
        <v>2565322730154.5654</v>
      </c>
      <c r="J10" t="s">
        <v>363</v>
      </c>
      <c r="Q10" s="44" t="s">
        <v>374</v>
      </c>
      <c r="R10" s="34" t="s">
        <v>375</v>
      </c>
      <c r="S10" s="34" t="s">
        <v>353</v>
      </c>
    </row>
    <row r="11" spans="1:19" x14ac:dyDescent="0.3">
      <c r="A11" s="39" t="s">
        <v>376</v>
      </c>
      <c r="B11" s="34" t="s">
        <v>377</v>
      </c>
      <c r="C11" s="34" t="s">
        <v>353</v>
      </c>
      <c r="D11" s="34">
        <f>+[1]DC8130!B26</f>
        <v>28.162344148796127</v>
      </c>
      <c r="E11" s="34">
        <f>+[1]DC8130!C26</f>
        <v>0.22789761067596817</v>
      </c>
      <c r="F11" s="34">
        <f>+[1]DC8130!E26</f>
        <v>33.167075004439695</v>
      </c>
      <c r="G11" s="34">
        <f>+[1]DC8130!F26</f>
        <v>35.478289168601869</v>
      </c>
      <c r="H11" s="34">
        <f>+[1]DC8130!H26</f>
        <v>61.329419153235818</v>
      </c>
      <c r="I11" s="34">
        <f>+[1]DC8130!I26</f>
        <v>69858005751.896622</v>
      </c>
      <c r="J11" t="s">
        <v>363</v>
      </c>
      <c r="Q11" s="39" t="s">
        <v>376</v>
      </c>
      <c r="R11" s="34" t="s">
        <v>377</v>
      </c>
      <c r="S11" s="34" t="s">
        <v>353</v>
      </c>
    </row>
    <row r="12" spans="1:19" x14ac:dyDescent="0.3">
      <c r="A12" s="39" t="s">
        <v>378</v>
      </c>
      <c r="B12" s="34" t="s">
        <v>379</v>
      </c>
      <c r="C12" s="34" t="s">
        <v>353</v>
      </c>
      <c r="D12" s="34">
        <f>+[1]DC8100!B23</f>
        <v>28.185270571325866</v>
      </c>
      <c r="E12" s="34">
        <f>+[1]DC8100!C23</f>
        <v>0.25751975252214321</v>
      </c>
      <c r="F12" s="34">
        <f>+[1]DC8100!E23</f>
        <v>39.486895573045757</v>
      </c>
      <c r="G12" s="34">
        <f>+[1]DC8100!F23</f>
        <v>384.10938745948897</v>
      </c>
      <c r="H12" s="34">
        <f>+[1]DC8100!H23</f>
        <v>67.672166144371616</v>
      </c>
      <c r="I12" s="34">
        <f>+[1]DC8100!I23</f>
        <v>854632118015.99304</v>
      </c>
      <c r="J12" t="s">
        <v>363</v>
      </c>
      <c r="Q12" s="39" t="s">
        <v>378</v>
      </c>
      <c r="R12" s="34" t="s">
        <v>379</v>
      </c>
      <c r="S12" s="34" t="s">
        <v>353</v>
      </c>
    </row>
    <row r="13" spans="1:19" x14ac:dyDescent="0.3">
      <c r="A13" s="39" t="s">
        <v>380</v>
      </c>
      <c r="B13" s="34" t="s">
        <v>468</v>
      </c>
      <c r="C13" s="34" t="s">
        <v>353</v>
      </c>
      <c r="D13" s="34">
        <f>+[1]Kapton!B20</f>
        <v>42.162827554493731</v>
      </c>
      <c r="E13" s="34">
        <f>+[1]Kapton!C20</f>
        <v>7.2278801585472979E-2</v>
      </c>
      <c r="F13" s="34">
        <f>+[1]Kapton!E20</f>
        <v>5.5710213873984192E-2</v>
      </c>
      <c r="G13" s="34">
        <f>+[1]Kapton!F20</f>
        <v>4.7777359187367509E-2</v>
      </c>
      <c r="H13" s="34">
        <f>+[1]Kapton!H20</f>
        <v>42.218537768367753</v>
      </c>
      <c r="I13" s="34">
        <f>+[1]Kapton!I20</f>
        <v>29836427.889441453</v>
      </c>
      <c r="J13" t="s">
        <v>363</v>
      </c>
      <c r="Q13" s="39" t="s">
        <v>380</v>
      </c>
      <c r="R13" s="34" t="s">
        <v>381</v>
      </c>
      <c r="S13" s="34" t="s">
        <v>353</v>
      </c>
    </row>
    <row r="14" spans="1:19" x14ac:dyDescent="0.3">
      <c r="A14" s="39" t="s">
        <v>382</v>
      </c>
      <c r="B14" s="34" t="s">
        <v>469</v>
      </c>
      <c r="C14" s="34" t="s">
        <v>353</v>
      </c>
      <c r="D14" s="34">
        <f>+'[1]Black PVC'!B24</f>
        <v>47.71140596102741</v>
      </c>
      <c r="E14" s="34">
        <f>+'[1]Black PVC'!C24</f>
        <v>23.248926822160495</v>
      </c>
      <c r="F14" s="34">
        <f>+'[1]Black PVC'!E24</f>
        <v>28.487677226357029</v>
      </c>
      <c r="G14" s="34">
        <f>+'[1]Black PVC'!F24</f>
        <v>140.41794873492415</v>
      </c>
      <c r="H14" s="34">
        <f>+'[1]Black PVC'!H24</f>
        <v>76.199083187384446</v>
      </c>
      <c r="I14" s="34">
        <f>+'[1]Black PVC'!I24</f>
        <v>28205855550629.195</v>
      </c>
      <c r="J14" t="s">
        <v>363</v>
      </c>
      <c r="Q14" s="39" t="s">
        <v>382</v>
      </c>
      <c r="R14" s="34" t="s">
        <v>382</v>
      </c>
      <c r="S14" s="34" t="s">
        <v>353</v>
      </c>
    </row>
    <row r="15" spans="1:19" x14ac:dyDescent="0.3">
      <c r="A15" s="39" t="s">
        <v>383</v>
      </c>
      <c r="B15" s="34" t="s">
        <v>469</v>
      </c>
      <c r="C15" s="34" t="s">
        <v>353</v>
      </c>
      <c r="D15" s="34">
        <f>+'[1]Clear PVC'!B21</f>
        <v>33.028689755718844</v>
      </c>
      <c r="E15" s="34">
        <f>+'[1]Clear PVC'!C21</f>
        <v>0.11657610009133024</v>
      </c>
      <c r="F15" s="34">
        <f>+'[1]Clear PVC'!E21</f>
        <v>32.993950558788171</v>
      </c>
      <c r="G15" s="34">
        <f>+'[1]Clear PVC'!F21</f>
        <v>938.97727386374527</v>
      </c>
      <c r="H15" s="34">
        <f>+'[1]Clear PVC'!H21</f>
        <v>66.022640314507001</v>
      </c>
      <c r="I15" s="34">
        <f>+'[1]Clear PVC'!I21</f>
        <v>945754346834.70007</v>
      </c>
      <c r="J15" t="s">
        <v>363</v>
      </c>
      <c r="Q15" s="39" t="s">
        <v>383</v>
      </c>
      <c r="R15" s="34" t="s">
        <v>383</v>
      </c>
      <c r="S15" s="34" t="s">
        <v>353</v>
      </c>
    </row>
    <row r="16" spans="1:19" x14ac:dyDescent="0.3">
      <c r="A16" s="39" t="s">
        <v>384</v>
      </c>
      <c r="B16" s="34" t="s">
        <v>385</v>
      </c>
      <c r="C16" s="34" t="s">
        <v>353</v>
      </c>
      <c r="D16" s="34">
        <f>+[1]Korad!B25</f>
        <v>42.42240399098354</v>
      </c>
      <c r="E16" s="34">
        <f>+[1]Korad!C25</f>
        <v>0.95628884563207273</v>
      </c>
      <c r="F16" s="34">
        <f>+[1]Korad!E25</f>
        <v>10.652253728864931</v>
      </c>
      <c r="G16" s="34">
        <f>+[1]Korad!F25</f>
        <v>1.114994469801458</v>
      </c>
      <c r="H16" s="34">
        <f>+[1]Korad!H25</f>
        <v>105.22742596998002</v>
      </c>
      <c r="I16" s="34">
        <f>+[1]Korad!I25</f>
        <v>3.22132004614754E+18</v>
      </c>
      <c r="J16" t="s">
        <v>363</v>
      </c>
      <c r="Q16" s="39" t="s">
        <v>384</v>
      </c>
      <c r="R16" s="34" t="s">
        <v>385</v>
      </c>
      <c r="S16" s="34" t="s">
        <v>353</v>
      </c>
    </row>
    <row r="17" spans="1:19" x14ac:dyDescent="0.3">
      <c r="A17" s="39" t="s">
        <v>386</v>
      </c>
      <c r="B17" s="34" t="s">
        <v>470</v>
      </c>
      <c r="C17" s="34" t="s">
        <v>353</v>
      </c>
      <c r="D17" s="34">
        <f>+[1]Tefzel!B19</f>
        <v>33.754669172074927</v>
      </c>
      <c r="E17" s="34">
        <f>+[1]Tefzel!C19</f>
        <v>5.7576156969595199E-2</v>
      </c>
      <c r="F17" s="34">
        <f>+[1]Tefzel!E19</f>
        <v>25.93834881896203</v>
      </c>
      <c r="G17" s="34">
        <f>+[1]Tefzel!F19</f>
        <v>7.2771280818926742</v>
      </c>
      <c r="H17" s="34">
        <f>+[1]Tefzel!H19</f>
        <v>59.69301799103696</v>
      </c>
      <c r="I17" s="34">
        <f>+[1]Tefzel!I19</f>
        <v>3620065553.8349991</v>
      </c>
      <c r="J17" t="s">
        <v>363</v>
      </c>
      <c r="Q17" s="39" t="s">
        <v>386</v>
      </c>
      <c r="R17" s="34" t="s">
        <v>387</v>
      </c>
      <c r="S17" s="34" t="s">
        <v>353</v>
      </c>
    </row>
    <row r="18" spans="1:19" x14ac:dyDescent="0.3">
      <c r="B18" s="44" t="s">
        <v>388</v>
      </c>
      <c r="C18" s="34" t="s">
        <v>353</v>
      </c>
      <c r="D18" s="34">
        <f>+[1]PEN!B22</f>
        <v>51.563674211570778</v>
      </c>
      <c r="E18" s="34">
        <f>+[1]PEN!C22</f>
        <v>0.99552969233774591</v>
      </c>
      <c r="F18" s="34">
        <f>+[1]PEN!E22</f>
        <v>5.6178949378191012</v>
      </c>
      <c r="G18" s="34">
        <f>+[1]PEN!F22</f>
        <v>8.1243691434489812E-2</v>
      </c>
      <c r="H18" s="34">
        <f>+[1]PEN!H22</f>
        <v>57.181569149389908</v>
      </c>
      <c r="I18" s="34">
        <f>+[1]PEN!I22</f>
        <v>698807581.67371202</v>
      </c>
      <c r="J18" t="s">
        <v>363</v>
      </c>
      <c r="Q18" s="44" t="s">
        <v>388</v>
      </c>
      <c r="R18" s="34" t="s">
        <v>389</v>
      </c>
      <c r="S18" s="34" t="s">
        <v>353</v>
      </c>
    </row>
    <row r="19" spans="1:19" x14ac:dyDescent="0.3">
      <c r="A19" s="39" t="s">
        <v>390</v>
      </c>
      <c r="B19" s="34" t="s">
        <v>471</v>
      </c>
      <c r="C19" s="34" t="s">
        <v>353</v>
      </c>
      <c r="D19" s="34">
        <f>+'[1]Mylar D'!B25</f>
        <v>47.321325114539746</v>
      </c>
      <c r="E19" s="34">
        <f>+'[1]Mylar D'!C25</f>
        <v>0.78900313456154914</v>
      </c>
      <c r="F19" s="34">
        <f>+'[1]Mylar D'!E25</f>
        <v>7.3237806981102569</v>
      </c>
      <c r="G19" s="34">
        <f>+'[1]Mylar D'!F25</f>
        <v>0.15720367168074798</v>
      </c>
      <c r="H19" s="34">
        <f>+'[1]Mylar D'!H25</f>
        <v>54.645105812650044</v>
      </c>
      <c r="I19" s="34">
        <f>+'[1]Mylar D'!I25</f>
        <v>1071655399.1868174</v>
      </c>
      <c r="J19" t="s">
        <v>363</v>
      </c>
      <c r="Q19" s="39" t="s">
        <v>390</v>
      </c>
      <c r="R19" s="34" t="s">
        <v>391</v>
      </c>
      <c r="S19" s="34" t="s">
        <v>353</v>
      </c>
    </row>
    <row r="20" spans="1:19" x14ac:dyDescent="0.3">
      <c r="A20" s="39" t="s">
        <v>392</v>
      </c>
      <c r="B20" s="34" t="s">
        <v>471</v>
      </c>
      <c r="C20" s="34" t="s">
        <v>353</v>
      </c>
      <c r="D20" s="34">
        <f>+[1]ST504!B37</f>
        <v>49.198808858743789</v>
      </c>
      <c r="E20" s="34">
        <f>+[1]ST504!C37</f>
        <v>1.4313611614687722</v>
      </c>
      <c r="F20" s="34">
        <f>+[1]ST504!E37</f>
        <v>6.2076484430935208</v>
      </c>
      <c r="G20" s="34">
        <f>+[1]ST504!F37</f>
        <v>0.10669838185615245</v>
      </c>
      <c r="H20" s="34">
        <f>+[1]ST504!H37</f>
        <v>55.406457301837321</v>
      </c>
      <c r="I20" s="34">
        <f>+[1]ST504!I37</f>
        <v>1319534666.9031835</v>
      </c>
      <c r="J20" t="s">
        <v>363</v>
      </c>
      <c r="Q20" s="39" t="s">
        <v>392</v>
      </c>
      <c r="R20" s="34" t="s">
        <v>393</v>
      </c>
      <c r="S20" s="34" t="s">
        <v>353</v>
      </c>
    </row>
    <row r="21" spans="1:19" x14ac:dyDescent="0.3">
      <c r="A21" s="39" t="s">
        <v>394</v>
      </c>
      <c r="B21" s="34" t="s">
        <v>472</v>
      </c>
      <c r="C21" s="34" t="s">
        <v>353</v>
      </c>
      <c r="D21" s="34">
        <f>+[1]Polycarbonate!B20</f>
        <v>31.757067306682124</v>
      </c>
      <c r="E21" s="34">
        <f>+[1]Polycarbonate!C20</f>
        <v>1.7760209008119709E-2</v>
      </c>
      <c r="F21" s="34">
        <f>+[1]Polycarbonate!E20</f>
        <v>13.450388588631183</v>
      </c>
      <c r="G21" s="34">
        <f>+[1]Polycarbonate!F20</f>
        <v>1.2105737576291116</v>
      </c>
      <c r="H21" s="34">
        <f>+[1]Polycarbonate!H20</f>
        <v>45.207455895313295</v>
      </c>
      <c r="I21" s="34">
        <f>+[1]Polycarbonate!I20</f>
        <v>185760371.13325459</v>
      </c>
      <c r="J21" t="s">
        <v>363</v>
      </c>
      <c r="Q21" s="39" t="s">
        <v>394</v>
      </c>
      <c r="R21" s="34" t="s">
        <v>395</v>
      </c>
      <c r="S21" s="34" t="s">
        <v>353</v>
      </c>
    </row>
    <row r="22" spans="1:19" ht="44.7" customHeight="1" x14ac:dyDescent="0.3">
      <c r="A22" s="44" t="s">
        <v>396</v>
      </c>
      <c r="B22" s="34" t="s">
        <v>397</v>
      </c>
      <c r="C22" s="34" t="s">
        <v>353</v>
      </c>
      <c r="D22" s="34">
        <f>+[1]PVB!B28</f>
        <v>46.46496184785223</v>
      </c>
      <c r="E22" s="34">
        <f>+[1]PVB!C28</f>
        <v>11.348179731180986</v>
      </c>
      <c r="F22" s="34">
        <f>+[1]PVB!E28</f>
        <v>11.077737089065423</v>
      </c>
      <c r="G22" s="34">
        <f>+[1]PVB!F28</f>
        <v>2.4915641631322587</v>
      </c>
      <c r="H22" s="34">
        <f>+[1]PVB!H28</f>
        <v>57.542698936917702</v>
      </c>
      <c r="I22" s="34">
        <f>+[1]PVB!I28</f>
        <v>244293562958.35645</v>
      </c>
      <c r="J22" t="s">
        <v>363</v>
      </c>
      <c r="Q22" s="44" t="s">
        <v>396</v>
      </c>
      <c r="R22" s="34" t="s">
        <v>397</v>
      </c>
      <c r="S22" s="34" t="s">
        <v>353</v>
      </c>
    </row>
    <row r="23" spans="1:19" x14ac:dyDescent="0.3">
      <c r="A23" s="39" t="s">
        <v>398</v>
      </c>
      <c r="B23" s="34" t="s">
        <v>399</v>
      </c>
      <c r="C23" s="34" t="s">
        <v>400</v>
      </c>
      <c r="D23" s="34"/>
      <c r="E23" s="34"/>
      <c r="F23" s="34"/>
      <c r="G23" s="34"/>
      <c r="H23" s="34">
        <f>+[1]DNP!H20</f>
        <v>76.289572026033994</v>
      </c>
      <c r="I23" s="34">
        <f>+[1]DNP!I20</f>
        <v>6823263083472.1602</v>
      </c>
      <c r="J23" t="s">
        <v>363</v>
      </c>
      <c r="L23" s="55" t="s">
        <v>453</v>
      </c>
      <c r="Q23" s="39" t="s">
        <v>398</v>
      </c>
      <c r="R23" s="34" t="s">
        <v>399</v>
      </c>
      <c r="S23" s="34" t="s">
        <v>400</v>
      </c>
    </row>
    <row r="24" spans="1:19" x14ac:dyDescent="0.3">
      <c r="A24" s="39" t="s">
        <v>401</v>
      </c>
      <c r="B24" s="34" t="s">
        <v>402</v>
      </c>
      <c r="C24" s="34" t="s">
        <v>353</v>
      </c>
      <c r="D24" s="34">
        <f>+[1]Vectran!B20</f>
        <v>50.403918892528026</v>
      </c>
      <c r="E24" s="34">
        <f>+[1]Vectran!C20</f>
        <v>0.2459422512827372</v>
      </c>
      <c r="F24" s="34">
        <f>+[1]Vectran!E20</f>
        <v>5.4530156474820481</v>
      </c>
      <c r="G24" s="34">
        <f>+[1]Vectran!F20</f>
        <v>1.1062254683295277E-2</v>
      </c>
      <c r="H24" s="34">
        <f>+[1]Vectran!H20</f>
        <v>55.856934540010108</v>
      </c>
      <c r="I24" s="34">
        <f>+[1]Vectran!I20</f>
        <v>23506639.094067916</v>
      </c>
      <c r="J24" t="s">
        <v>363</v>
      </c>
      <c r="Q24" s="39" t="s">
        <v>401</v>
      </c>
      <c r="R24" s="34" t="s">
        <v>402</v>
      </c>
      <c r="S24" s="34" t="s">
        <v>353</v>
      </c>
    </row>
    <row r="25" spans="1:19" x14ac:dyDescent="0.3">
      <c r="A25" s="39" t="s">
        <v>403</v>
      </c>
      <c r="B25" s="34" t="s">
        <v>404</v>
      </c>
      <c r="C25" s="34" t="s">
        <v>353</v>
      </c>
      <c r="D25" s="34">
        <f>+[1]Tedlar!B19</f>
        <v>58.715703891769969</v>
      </c>
      <c r="E25" s="34">
        <f>+[1]Tedlar!C19</f>
        <v>113.52556778591595</v>
      </c>
      <c r="F25" s="34">
        <f>+[1]Tedlar!E19</f>
        <v>11.771193238787168</v>
      </c>
      <c r="G25" s="34">
        <f>+[1]Tedlar!F19</f>
        <v>0.98337334744254568</v>
      </c>
      <c r="H25" s="34">
        <f>+[1]Tedlar!H19</f>
        <v>70.486897130557139</v>
      </c>
      <c r="I25" s="34">
        <f>+[1]Tedlar!I19</f>
        <v>964552472184.54114</v>
      </c>
      <c r="J25" t="s">
        <v>363</v>
      </c>
      <c r="Q25" s="39" t="s">
        <v>403</v>
      </c>
      <c r="R25" s="34" t="s">
        <v>404</v>
      </c>
      <c r="S25" s="34" t="s">
        <v>353</v>
      </c>
    </row>
    <row r="26" spans="1:19" x14ac:dyDescent="0.3">
      <c r="A26" s="39" t="s">
        <v>405</v>
      </c>
      <c r="B26" s="34" t="s">
        <v>406</v>
      </c>
      <c r="C26" s="34" t="s">
        <v>353</v>
      </c>
      <c r="D26" s="34">
        <f>+[1]Aclar!B26</f>
        <v>79.511379114564235</v>
      </c>
      <c r="E26" s="34">
        <f>+[1]Aclar!C26</f>
        <v>10210.165941895206</v>
      </c>
      <c r="F26" s="34">
        <f>+[1]Aclar!E26</f>
        <v>7.8673890520555609</v>
      </c>
      <c r="G26" s="34">
        <f>+[1]Aclar!F26</f>
        <v>4.3956396128076579E-2</v>
      </c>
      <c r="H26" s="34">
        <f>+[1]Aclar!H26</f>
        <v>84.543636208474581</v>
      </c>
      <c r="I26" s="34">
        <f>+[1]Aclar!I26</f>
        <v>1492039875944.9783</v>
      </c>
      <c r="J26" t="s">
        <v>363</v>
      </c>
      <c r="Q26" s="39" t="s">
        <v>405</v>
      </c>
      <c r="R26" s="34" t="s">
        <v>406</v>
      </c>
      <c r="S26" s="34" t="s">
        <v>353</v>
      </c>
    </row>
    <row r="27" spans="1:19" x14ac:dyDescent="0.3">
      <c r="A27" s="39" t="s">
        <v>407</v>
      </c>
      <c r="B27" s="34" t="s">
        <v>408</v>
      </c>
      <c r="C27" s="34" t="s">
        <v>353</v>
      </c>
      <c r="D27" s="39">
        <f>+'[1]Clear Aclar'!B21</f>
        <v>96.538586544926616</v>
      </c>
      <c r="E27" s="37">
        <f>+'[1]Clear Aclar'!C21</f>
        <v>4172967.1442041355</v>
      </c>
      <c r="F27" s="45">
        <f>+'[1]Clear Aclar'!E21</f>
        <v>-12.382559815661125</v>
      </c>
      <c r="G27" s="46">
        <f>+'[1]Clear Aclar'!F21</f>
        <v>2.7596664527880973E-5</v>
      </c>
      <c r="H27" s="39">
        <f>+'[1]Clear Aclar'!H21</f>
        <v>84.156026729265378</v>
      </c>
      <c r="I27" s="39">
        <f>+'[1]Clear Aclar'!I21</f>
        <v>994982178508.98853</v>
      </c>
      <c r="J27" t="s">
        <v>363</v>
      </c>
      <c r="Q27" s="39" t="s">
        <v>407</v>
      </c>
      <c r="R27" s="34" t="s">
        <v>408</v>
      </c>
      <c r="S27" s="34" t="s">
        <v>353</v>
      </c>
    </row>
    <row r="28" spans="1:19" ht="25.95" customHeight="1" x14ac:dyDescent="0.3">
      <c r="A28" s="47" t="s">
        <v>409</v>
      </c>
      <c r="B28" s="48" t="s">
        <v>410</v>
      </c>
      <c r="C28" s="48" t="s">
        <v>353</v>
      </c>
      <c r="D28" s="48">
        <f>+[1]EVA!B36</f>
        <v>38.139966396438027</v>
      </c>
      <c r="E28" s="48">
        <f>+[1]EVA!C36</f>
        <v>2.310978816769659</v>
      </c>
      <c r="F28" s="48">
        <f>+[1]EVA!E36</f>
        <v>16.728622035107318</v>
      </c>
      <c r="G28" s="48">
        <f>+[1]EVA!F36</f>
        <v>1.8139070196748746</v>
      </c>
      <c r="H28" s="48">
        <f>+[1]EVA!H36</f>
        <v>55.157853271460873</v>
      </c>
      <c r="I28" s="48">
        <f>+[1]EVA!I36</f>
        <v>40728267519.368698</v>
      </c>
      <c r="J28" t="s">
        <v>411</v>
      </c>
      <c r="Q28" s="47" t="s">
        <v>409</v>
      </c>
      <c r="R28" s="48" t="s">
        <v>410</v>
      </c>
      <c r="S28" s="48" t="s">
        <v>353</v>
      </c>
    </row>
    <row r="29" spans="1:19" x14ac:dyDescent="0.3">
      <c r="A29" s="39" t="s">
        <v>412</v>
      </c>
      <c r="B29" s="34" t="s">
        <v>413</v>
      </c>
      <c r="C29" s="34" t="s">
        <v>353</v>
      </c>
      <c r="D29" s="34">
        <f>+'[1]DC 184'!B21</f>
        <v>26.849140458942237</v>
      </c>
      <c r="E29" s="34">
        <f>+'[1]DC 184'!C21</f>
        <v>0.34304048442365886</v>
      </c>
      <c r="F29" s="34">
        <f>+'[1]DC 184'!E21</f>
        <v>11.177922518828932</v>
      </c>
      <c r="G29" s="34">
        <f>+'[1]DC 184'!F21</f>
        <v>8.0455999469991712E-2</v>
      </c>
      <c r="H29" s="34">
        <f>+'[1]DC 184'!H21</f>
        <v>38.027062977771187</v>
      </c>
      <c r="I29" s="34">
        <f>+'[1]DC 184'!I21</f>
        <v>238461105.88491112</v>
      </c>
      <c r="J29" t="s">
        <v>363</v>
      </c>
      <c r="Q29" s="39" t="s">
        <v>412</v>
      </c>
      <c r="R29" s="34" t="s">
        <v>413</v>
      </c>
      <c r="S29" s="34" t="s">
        <v>353</v>
      </c>
    </row>
    <row r="30" spans="1:19" x14ac:dyDescent="0.3">
      <c r="A30" s="39" t="s">
        <v>414</v>
      </c>
      <c r="B30" s="34" t="s">
        <v>415</v>
      </c>
      <c r="C30" s="34" t="s">
        <v>353</v>
      </c>
      <c r="D30" s="34">
        <f>+[1]RTV615!B34</f>
        <v>20.915578398399376</v>
      </c>
      <c r="E30" s="34">
        <f>+[1]RTV615!C34</f>
        <v>6.9037584128524232E-2</v>
      </c>
      <c r="F30" s="34">
        <f>+[1]RTV615!E34</f>
        <v>21.07567243605294</v>
      </c>
      <c r="G30" s="34">
        <f>+[1]RTV615!F34</f>
        <v>1.7618538829579637</v>
      </c>
      <c r="H30" s="34">
        <f>+[1]RTV615!H34</f>
        <v>41.769888545601482</v>
      </c>
      <c r="I30" s="34">
        <f>+[1]RTV615!I34</f>
        <v>960496070.76154339</v>
      </c>
      <c r="J30" t="s">
        <v>363</v>
      </c>
      <c r="Q30" s="39" t="s">
        <v>414</v>
      </c>
      <c r="R30" s="34" t="s">
        <v>415</v>
      </c>
      <c r="S30" s="34" t="s">
        <v>353</v>
      </c>
    </row>
    <row r="31" spans="1:19" x14ac:dyDescent="0.3">
      <c r="A31" s="39" t="s">
        <v>416</v>
      </c>
      <c r="B31" s="34" t="s">
        <v>417</v>
      </c>
      <c r="C31" s="34" t="s">
        <v>418</v>
      </c>
      <c r="D31" s="42">
        <f>+'[1]Viton Matte'!B27</f>
        <v>71.761688612047706</v>
      </c>
      <c r="E31" s="42">
        <f>+'[1]Viton Matte'!C27</f>
        <v>45455.348640508615</v>
      </c>
      <c r="F31" s="42">
        <f>+'[1]Viton Matte'!E27</f>
        <v>1.4820049925049505</v>
      </c>
      <c r="G31" s="42">
        <f>+'[1]Viton Matte'!F27</f>
        <v>2.0914598240765161E-2</v>
      </c>
      <c r="H31" s="34">
        <f>+'[1]Viton Matte'!H27</f>
        <v>73.243693604552661</v>
      </c>
      <c r="I31" s="34">
        <f>+'[1]Viton Matte'!I27</f>
        <v>8213878264695.7578</v>
      </c>
      <c r="J31" t="s">
        <v>363</v>
      </c>
      <c r="Q31" s="39" t="s">
        <v>416</v>
      </c>
      <c r="R31" s="34" t="s">
        <v>417</v>
      </c>
      <c r="S31" s="34" t="s">
        <v>418</v>
      </c>
    </row>
    <row r="32" spans="1:19" x14ac:dyDescent="0.3">
      <c r="A32" s="39" t="s">
        <v>419</v>
      </c>
      <c r="B32" s="34" t="s">
        <v>420</v>
      </c>
      <c r="C32" s="34" t="s">
        <v>418</v>
      </c>
      <c r="D32" s="45">
        <f>+'[1]Viton Gloss'!B26</f>
        <v>56.246083470603246</v>
      </c>
      <c r="E32" s="42">
        <f>+'[1]Viton Gloss'!C26</f>
        <v>159.98270169828808</v>
      </c>
      <c r="F32" s="42">
        <f>+'[1]Viton Gloss'!E26</f>
        <v>20.806349638873765</v>
      </c>
      <c r="G32" s="42">
        <f>+'[1]Viton Gloss'!F26</f>
        <v>26.983493367701062</v>
      </c>
      <c r="H32" s="39">
        <f>+'[1]Viton Gloss'!H26</f>
        <v>77.052433109476993</v>
      </c>
      <c r="I32" s="37">
        <f>+'[1]Viton Gloss'!I26</f>
        <v>37297948350723.375</v>
      </c>
      <c r="J32" t="s">
        <v>363</v>
      </c>
      <c r="Q32" s="39" t="s">
        <v>419</v>
      </c>
      <c r="R32" s="34" t="s">
        <v>420</v>
      </c>
      <c r="S32" s="34" t="s">
        <v>418</v>
      </c>
    </row>
    <row r="33" spans="1:19" x14ac:dyDescent="0.3">
      <c r="A33" s="39" t="s">
        <v>421</v>
      </c>
      <c r="B33" s="34" t="s">
        <v>422</v>
      </c>
      <c r="C33" s="34" t="s">
        <v>373</v>
      </c>
      <c r="D33" s="49">
        <f>+'[1]DNP 2777'!B34</f>
        <v>52.930705489914352</v>
      </c>
      <c r="E33" s="49">
        <f>+'[1]DNP 2777'!C34</f>
        <v>522.89028646045699</v>
      </c>
      <c r="F33" s="49">
        <f>+'[1]DNP 2777'!E34</f>
        <v>24.556946183149307</v>
      </c>
      <c r="G33" s="49">
        <f>+'[1]DNP 2777'!F34</f>
        <v>1.5596982700117279</v>
      </c>
      <c r="H33" s="49">
        <f>+'[1]DNP 2777'!H34</f>
        <v>79.868129679092448</v>
      </c>
      <c r="I33" s="49">
        <f>+'[1]DNP 2777'!I34</f>
        <v>15797483966534.52</v>
      </c>
      <c r="J33" t="s">
        <v>363</v>
      </c>
      <c r="Q33" s="39" t="s">
        <v>421</v>
      </c>
      <c r="R33" s="34" t="s">
        <v>422</v>
      </c>
      <c r="S33" s="34" t="s">
        <v>373</v>
      </c>
    </row>
    <row r="34" spans="1:19" x14ac:dyDescent="0.3">
      <c r="A34" s="39" t="s">
        <v>423</v>
      </c>
      <c r="B34" s="34" t="s">
        <v>424</v>
      </c>
      <c r="C34" s="34" t="s">
        <v>353</v>
      </c>
      <c r="D34" s="49">
        <f>+'[1]Stevens TPU'!B20</f>
        <v>50.746332649641168</v>
      </c>
      <c r="E34" s="49">
        <f>+'[1]Stevens TPU'!C20</f>
        <v>74.774964898417522</v>
      </c>
      <c r="F34" s="49">
        <f>+'[1]Stevens TPU'!E20</f>
        <v>6.4389910276390623</v>
      </c>
      <c r="G34" s="49">
        <f>+'[1]Stevens TPU'!F20</f>
        <v>0.24981115452670641</v>
      </c>
      <c r="H34" s="49">
        <f>+'[1]Stevens TPU'!H20</f>
        <v>57.185323677280252</v>
      </c>
      <c r="I34" s="49">
        <f>+'[1]Stevens TPU'!I20</f>
        <v>161391919486.7612</v>
      </c>
      <c r="J34" t="s">
        <v>363</v>
      </c>
      <c r="Q34" s="39" t="s">
        <v>423</v>
      </c>
      <c r="R34" s="34" t="s">
        <v>424</v>
      </c>
      <c r="S34" s="34" t="s">
        <v>353</v>
      </c>
    </row>
    <row r="35" spans="1:19" x14ac:dyDescent="0.3">
      <c r="A35" s="45" t="s">
        <v>425</v>
      </c>
      <c r="B35" s="42" t="s">
        <v>426</v>
      </c>
      <c r="C35" s="42" t="s">
        <v>373</v>
      </c>
      <c r="D35" s="50">
        <f>+[1]PV5300!B27</f>
        <v>55.6235810319235</v>
      </c>
      <c r="E35" s="50">
        <f>+[1]PV5300!C27</f>
        <v>15.360903887522364</v>
      </c>
      <c r="F35" s="50">
        <f>+[1]PV5300!E27</f>
        <v>19.5076706534681</v>
      </c>
      <c r="G35" s="50">
        <f>+[1]PV5300!F27</f>
        <v>17.788936121593636</v>
      </c>
      <c r="H35" s="50">
        <f>+[1]PV5300!H27</f>
        <v>75.131251685391589</v>
      </c>
      <c r="I35" s="50">
        <f>+[1]PV5300!I27</f>
        <v>2360915752536.6377</v>
      </c>
      <c r="J35" t="s">
        <v>363</v>
      </c>
      <c r="Q35" s="45" t="s">
        <v>425</v>
      </c>
      <c r="R35" s="42" t="s">
        <v>426</v>
      </c>
      <c r="S35" s="42" t="s">
        <v>373</v>
      </c>
    </row>
    <row r="36" spans="1:19" x14ac:dyDescent="0.3">
      <c r="A36" s="39" t="s">
        <v>427</v>
      </c>
      <c r="B36" s="34" t="s">
        <v>428</v>
      </c>
      <c r="C36" s="34" t="s">
        <v>353</v>
      </c>
      <c r="D36" s="49">
        <f>+'[1]PV5200 PVB'!B22</f>
        <v>51.883090245714826</v>
      </c>
      <c r="E36" s="49">
        <f>+'[1]PV5200 PVB'!C22</f>
        <v>84.513421127164364</v>
      </c>
      <c r="F36" s="49">
        <f>+'[1]PV5200 PVB'!E22</f>
        <v>7.9599766949168522</v>
      </c>
      <c r="G36" s="49">
        <f>+'[1]PV5200 PVB'!F22</f>
        <v>0.52048470062135055</v>
      </c>
      <c r="H36" s="49">
        <f>+'[1]PV5200 PVB'!H22</f>
        <v>59.843066940631665</v>
      </c>
      <c r="I36" s="49">
        <f>+'[1]PV5200 PVB'!I22</f>
        <v>380055824874.93164</v>
      </c>
      <c r="J36" t="s">
        <v>363</v>
      </c>
      <c r="Q36" s="39" t="s">
        <v>427</v>
      </c>
      <c r="R36" s="34" t="s">
        <v>428</v>
      </c>
      <c r="S36" s="34" t="s">
        <v>353</v>
      </c>
    </row>
    <row r="37" spans="1:19" x14ac:dyDescent="0.3">
      <c r="A37" s="51" t="s">
        <v>429</v>
      </c>
      <c r="B37" s="52" t="s">
        <v>430</v>
      </c>
      <c r="C37" s="52" t="s">
        <v>353</v>
      </c>
      <c r="D37" s="53">
        <f>+'[1]Stevens TPU 301'!B23</f>
        <v>44.241435609498247</v>
      </c>
      <c r="E37" s="53">
        <f>+'[1]Stevens TPU 301'!C23</f>
        <v>4.3292826156376414</v>
      </c>
      <c r="F37" s="53">
        <f>+'[1]Stevens TPU 301'!E23</f>
        <v>9.9038411862253195</v>
      </c>
      <c r="G37" s="53">
        <f>+'[1]Stevens TPU 301'!F23</f>
        <v>0.93131293544045113</v>
      </c>
      <c r="H37" s="53">
        <f>+'[1]Stevens TPU 301'!H23</f>
        <v>54.145276795723568</v>
      </c>
      <c r="I37" s="53">
        <f>+'[1]Stevens TPU 301'!I23</f>
        <v>34835762025.683846</v>
      </c>
      <c r="J37" t="s">
        <v>363</v>
      </c>
      <c r="Q37" s="51" t="s">
        <v>429</v>
      </c>
      <c r="R37" s="52" t="s">
        <v>430</v>
      </c>
      <c r="S37" s="52" t="s">
        <v>353</v>
      </c>
    </row>
    <row r="38" spans="1:19" ht="26.4" x14ac:dyDescent="0.3">
      <c r="A38" s="65" t="s">
        <v>431</v>
      </c>
      <c r="B38" s="66" t="s">
        <v>432</v>
      </c>
      <c r="C38" s="54" t="s">
        <v>433</v>
      </c>
      <c r="D38" s="53">
        <f>+'[1]DNP PV-FS CVF2B'!B38</f>
        <v>47.071045463131497</v>
      </c>
      <c r="E38" s="53">
        <f>+'[1]DNP PV-FS CVF2B'!C38</f>
        <v>141.69956236216302</v>
      </c>
      <c r="F38" s="53">
        <f>+'[1]DNP PV-FS CVF2B'!E38</f>
        <v>32.959485564924115</v>
      </c>
      <c r="G38" s="53">
        <f>+'[1]DNP PV-FS CVF2B'!F38</f>
        <v>28.246464241345748</v>
      </c>
      <c r="H38" s="53">
        <f>+'[1]DNP PV-FS CVF2B'!H38</f>
        <v>80.030751142533347</v>
      </c>
      <c r="I38" s="53">
        <f>+'[1]DNP PV-FS CVF2B'!I38</f>
        <v>34584496473583.883</v>
      </c>
      <c r="J38" t="s">
        <v>363</v>
      </c>
      <c r="Q38" s="65" t="s">
        <v>431</v>
      </c>
      <c r="R38" s="66" t="s">
        <v>432</v>
      </c>
      <c r="S38" s="54" t="s">
        <v>433</v>
      </c>
    </row>
    <row r="39" spans="1:19" ht="26.4" x14ac:dyDescent="0.3">
      <c r="A39" s="65"/>
      <c r="B39" s="66"/>
      <c r="C39" s="54" t="s">
        <v>434</v>
      </c>
      <c r="D39" s="53">
        <f>+'[1]DNP PV-FS CVF2B'!B44</f>
        <v>31.049390194303584</v>
      </c>
      <c r="E39" s="53">
        <f>+'[1]DNP PV-FS CVF2B'!C44</f>
        <v>0.38737501807126218</v>
      </c>
      <c r="F39" s="53">
        <f>+'[1]DNP PV-FS CVF2B'!E44</f>
        <v>37.15468353444296</v>
      </c>
      <c r="G39" s="53">
        <f>+'[1]DNP PV-FS CVF2B'!F44</f>
        <v>133.26717113526121</v>
      </c>
      <c r="H39" s="53">
        <f>+'[1]DNP PV-FS CVF2B'!H44</f>
        <v>68.204073728746536</v>
      </c>
      <c r="I39" s="53">
        <f>+'[1]DNP PV-FS CVF2B'!I44</f>
        <v>446034581223.79193</v>
      </c>
      <c r="J39" t="s">
        <v>363</v>
      </c>
      <c r="Q39" s="65"/>
      <c r="R39" s="66"/>
      <c r="S39" s="54" t="s">
        <v>434</v>
      </c>
    </row>
    <row r="40" spans="1:19" x14ac:dyDescent="0.3">
      <c r="A40" s="51" t="s">
        <v>435</v>
      </c>
      <c r="B40" s="52" t="s">
        <v>436</v>
      </c>
      <c r="C40" s="52" t="s">
        <v>353</v>
      </c>
      <c r="D40" s="53">
        <f>29*LN(10)</f>
        <v>66.774967696827332</v>
      </c>
      <c r="E40" s="53">
        <f>1.8*10^6/3600/100</f>
        <v>5</v>
      </c>
      <c r="F40" s="53"/>
      <c r="G40" s="53"/>
      <c r="H40" s="53"/>
      <c r="I40" s="53"/>
      <c r="J40" t="s">
        <v>437</v>
      </c>
      <c r="Q40" s="51" t="s">
        <v>435</v>
      </c>
      <c r="R40" s="52" t="s">
        <v>436</v>
      </c>
      <c r="S40" s="52" t="s">
        <v>353</v>
      </c>
    </row>
    <row r="41" spans="1:19" x14ac:dyDescent="0.3">
      <c r="A41" s="51" t="s">
        <v>438</v>
      </c>
      <c r="B41" s="52" t="s">
        <v>439</v>
      </c>
      <c r="C41" s="52" t="s">
        <v>353</v>
      </c>
      <c r="D41" s="53">
        <v>54.8</v>
      </c>
      <c r="E41" s="53">
        <v>4.3899999999999997</v>
      </c>
      <c r="F41" s="53">
        <v>5</v>
      </c>
      <c r="G41" s="53">
        <f>0.36*7.76834163496883/1.173365/100*1.35</f>
        <v>3.2175955773308833E-2</v>
      </c>
      <c r="H41" s="53">
        <f>+F41+D41</f>
        <v>59.8</v>
      </c>
      <c r="I41" s="55">
        <f>+G41*E41*8640000000</f>
        <v>1220421132.0992947</v>
      </c>
      <c r="J41" t="s">
        <v>440</v>
      </c>
      <c r="Q41" s="51" t="s">
        <v>438</v>
      </c>
      <c r="R41" s="52" t="s">
        <v>439</v>
      </c>
      <c r="S41" s="52" t="s">
        <v>353</v>
      </c>
    </row>
    <row r="42" spans="1:19" x14ac:dyDescent="0.3">
      <c r="A42" s="51" t="s">
        <v>441</v>
      </c>
      <c r="B42" s="52" t="s">
        <v>442</v>
      </c>
      <c r="C42" s="52" t="s">
        <v>353</v>
      </c>
      <c r="D42" s="55">
        <v>55</v>
      </c>
      <c r="E42" s="53">
        <v>50</v>
      </c>
      <c r="F42" s="53">
        <v>7.5</v>
      </c>
      <c r="G42" s="53">
        <v>5.1999999999999998E-2</v>
      </c>
      <c r="H42" s="53">
        <f>+F42+D42</f>
        <v>62.5</v>
      </c>
      <c r="I42" s="55">
        <f>+G42*E42*8640000000</f>
        <v>22464000000</v>
      </c>
      <c r="J42" t="s">
        <v>443</v>
      </c>
      <c r="Q42" s="51" t="s">
        <v>441</v>
      </c>
      <c r="R42" s="52" t="s">
        <v>442</v>
      </c>
      <c r="S42" s="52" t="s">
        <v>353</v>
      </c>
    </row>
    <row r="45" spans="1:19" x14ac:dyDescent="0.3">
      <c r="B45" s="52" t="s">
        <v>493</v>
      </c>
    </row>
    <row r="46" spans="1:19" x14ac:dyDescent="0.3">
      <c r="A46" s="55"/>
    </row>
    <row r="47" spans="1:19" x14ac:dyDescent="0.3">
      <c r="B47" t="str">
        <f t="shared" ref="B47:B85" si="0">"    " &amp; CHAR(34) &amp; "W000" &amp; CHAR(34) &amp; ": {" &amp; CHAR(13) &amp; CHAR(9) &amp; CHAR(34) &amp; "name" &amp;CHAR(34) &amp; ": " &amp;CHAR(34) &amp; A4 &amp;CHAR(34) &amp; "," &amp;CHAR(13) &amp; CHAR(9) &amp; CHAR(34) &amp; "alias" &amp;CHAR(34) &amp; ": " &amp;CHAR(34) &amp; B4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&amp;D4 &amp; "," &amp;CHAR(13)&amp; CHAR(9) &amp; CHAR(34) &amp; "Do" &amp;CHAR(34) &amp; ": " &amp;E4 &amp; "," &amp;CHAR(13)&amp;CHAR(9) &amp; CHAR(34) &amp; "Eas" &amp;CHAR(34) &amp; ": " &amp;F4 &amp; "," &amp;CHAR(13)&amp; CHAR(9) &amp; CHAR(34) &amp; "So" &amp;CHAR(34) &amp; ": " &amp;G4 &amp; "," &amp;CHAR(13)&amp;CHAR(9) &amp; CHAR(34) &amp; "Eap" &amp;CHAR(34) &amp; ": " &amp;H4 &amp; "," &amp;CHAR(13)&amp; CHAR(9) &amp; CHAR(34) &amp; "Po" &amp;CHAR(34) &amp; ": " &amp;I4 &amp; CHAR(13) &amp; "    }," &amp; CHAR(13)</f>
        <v xml:space="preserve">    "W000": {_x000D_	"name": "VHB 5047",_x000D_	"alias": "Double Stick Tape",_x000D_	"contributor": "Michael Kempe",_x000D_	"source": "unpublished measurements",_x000D_	"Fickian": true,_x000D_	"Ead": 45.4752522219199,_x000D_	"Do": 9.43827604933472,_x000D_	"Eas": 9.11207059308869,_x000D_	"So": 0.250698026382274,_x000D_	"Eap": 54.5873228150086,_x000D_	"Po": 20443598018.0867_x000D_    },_x000D_</v>
      </c>
    </row>
    <row r="48" spans="1:19" x14ac:dyDescent="0.3">
      <c r="B48" t="str">
        <f t="shared" si="0"/>
        <v xml:space="preserve">    "W000": {_x000D_	"name": "AAA polyamide",_x000D_	"alias": "AAA",_x000D_	"contributor": "Michael Kempe",_x000D_	"source": "unpublished measurements",_x000D_	"Fickian": true,_x000D_	"Ead": 61.4781422330562,_x000D_	"Do": 25790.6020262449,_x000D_	"Eas": 5.88752263485353,_x000D_	"So": 0.00982242435416737,_x000D_	"Eap": 67.3656648679097,_x000D_	"Po": 5559396276.60964_x000D_    },_x000D_</v>
      </c>
    </row>
    <row r="49" spans="2:2" x14ac:dyDescent="0.3">
      <c r="B49" t="str">
        <f t="shared" si="0"/>
        <v xml:space="preserve">    "W000": {_x000D_	"name": "Coveme",_x000D_	"alias": "Stabilized PET",_x000D_	"contributor": "Michael Kempe",_x000D_	"source": "unpublished measurements",_x000D_	"Fickian": true,_x000D_	"Ead": 47.5191721120378,_x000D_	"Do": 1.31884541208636,_x000D_	"Eas": 11.3377908247284,_x000D_	"So": 0.53540550732342,_x000D_	"Eap": 58.8569629367662,_x000D_	"Po": 6100851717.55522_x000D_    },_x000D_</v>
      </c>
    </row>
    <row r="50" spans="2:2" x14ac:dyDescent="0.3">
      <c r="B50" t="str">
        <f t="shared" si="0"/>
        <v xml:space="preserve">    "W000": {_x000D_	"name": "VHB 5952",_x000D_	"alias": "Double Stick Tape",_x000D_	"contributor": "Michael Kempe",_x000D_	"source": "unpublished measurements",_x000D_	"Fickian": true,_x000D_	"Ead": 40.475393230961,_x000D_	"Do": 5.15098921079005,_x000D_	"Eas": 24.0739064517654,_x000D_	"So": 53.2748284093228,_x000D_	"Eap": 60.901412990104,_x000D_	"Po": 568214581700.165_x000D_    },_x000D_</v>
      </c>
    </row>
    <row r="51" spans="2:2" x14ac:dyDescent="0.3">
      <c r="B51" t="str">
        <f t="shared" si="0"/>
        <v xml:space="preserve">    "W000": {_x000D_	"name": "BRP-C",_x000D_	"alias": "polyethylene-co-propylene-co-dienemonomer",_x000D_	"contributor": "Michael Kempe",_x000D_	"source": "unpublished measurements",_x000D_	"Fickian": true,_x000D_	"Ead": ,_x000D_	"Do": ,_x000D_	"Eas": ,_x000D_	"So": ,_x000D_	"Eap": 70.2425215496216,_x000D_	"Po": 1172612706438.09_x000D_    },_x000D_</v>
      </c>
    </row>
    <row r="52" spans="2:2" x14ac:dyDescent="0.3">
      <c r="B52" t="str">
        <f t="shared" si="0"/>
        <v xml:space="preserve">    "W000": {_x000D_	"name": "Surlyn "Jura Sol"",_x000D_	"alias": "Ionomer, polyethylene-co-sodium methacrylic acid",_x000D_	"contributor": "Michael Kempe",_x000D_	"source": "unpublished measurements",_x000D_	"Fickian": true,_x000D_	"Ead": 75.4121720881285,_x000D_	"Do": 154974.658649818,_x000D_	"Eas": 9.99311553453843,_x000D_	"So": 0.0977288489337781,_x000D_	"Eap": 85.4052876226669,_x000D_	"Po": 130857076832418_x000D_    },_x000D_</v>
      </c>
    </row>
    <row r="53" spans="2:2" x14ac:dyDescent="0.3">
      <c r="B53" t="str">
        <f t="shared" si="0"/>
        <v xml:space="preserve">    "W000": {_x000D_	"name": "Etimex Aliphatic Thermoplastic Polyurethane",_x000D_	"alias": "Polyurethane",_x000D_	"contributor": "Michael Kempe",_x000D_	"source": "unpublished measurements",_x000D_	"Fickian": true,_x000D_	"Ead": 46.6619594980869,_x000D_	"Do": 40.519181381529,_x000D_	"Eas": 15.5365130880537,_x000D_	"So": 7.32769870722261,_x000D_	"Eap": 62.1984725861406,_x000D_	"Po": 2565322730154.57_x000D_    },_x000D_</v>
      </c>
    </row>
    <row r="54" spans="2:2" x14ac:dyDescent="0.3">
      <c r="B54" t="str">
        <f t="shared" si="0"/>
        <v xml:space="preserve">    "W000": {_x000D_	"name": "DC8130",_x000D_	"alias": "Poly-α-Olefin #2",_x000D_	"contributor": "Michael Kempe",_x000D_	"source": "unpublished measurements",_x000D_	"Fickian": true,_x000D_	"Ead": 28.1623441487961,_x000D_	"Do": 0.227897610675968,_x000D_	"Eas": 33.1670750044397,_x000D_	"So": 35.4782891686019,_x000D_	"Eap": 61.3294191532358,_x000D_	"Po": 69858005751.8966_x000D_    },_x000D_</v>
      </c>
    </row>
    <row r="55" spans="2:2" x14ac:dyDescent="0.3">
      <c r="B55" t="str">
        <f t="shared" si="0"/>
        <v xml:space="preserve">    "W000": {_x000D_	"name": "DC8100",_x000D_	"alias": "Poly-α-Olefin #1",_x000D_	"contributor": "Michael Kempe",_x000D_	"source": "unpublished measurements",_x000D_	"Fickian": true,_x000D_	"Ead": 28.1852705713259,_x000D_	"Do": 0.257519752522143,_x000D_	"Eas": 39.4868955730458,_x000D_	"So": 384.109387459489,_x000D_	"Eap": 67.6721661443716,_x000D_	"Po": 854632118015.993_x000D_    },_x000D_</v>
      </c>
    </row>
    <row r="56" spans="2:2" x14ac:dyDescent="0.3">
      <c r="B56" t="str">
        <f t="shared" si="0"/>
        <v xml:space="preserve">    "W000": {_x000D_	"name": "Kapton",_x000D_	"alias": "Polyimide, poly-oxydiphenylene-pyromellitimide",_x000D_	"contributor": "Michael Kempe",_x000D_	"source": "unpublished measurements",_x000D_	"Fickian": true,_x000D_	"Ead": 42.1628275544937,_x000D_	"Do": 0.072278801585473,_x000D_	"Eas": 0.0557102138739842,_x000D_	"So": 0.0477773591873675,_x000D_	"Eap": 42.2185377683678,_x000D_	"Po": 29836427.8894415_x000D_    },_x000D_</v>
      </c>
    </row>
    <row r="57" spans="2:2" x14ac:dyDescent="0.3">
      <c r="B57" t="str">
        <f t="shared" si="0"/>
        <v xml:space="preserve">    "W000": {_x000D_	"name": "Black PVC",_x000D_	"alias": "Polyvinyl Chloride",_x000D_	"contributor": "Michael Kempe",_x000D_	"source": "unpublished measurements",_x000D_	"Fickian": true,_x000D_	"Ead": 47.7114059610274,_x000D_	"Do": 23.2489268221605,_x000D_	"Eas": 28.487677226357,_x000D_	"So": 140.417948734924,_x000D_	"Eap": 76.1990831873844,_x000D_	"Po": 28205855550629.2_x000D_    },_x000D_</v>
      </c>
    </row>
    <row r="58" spans="2:2" x14ac:dyDescent="0.3">
      <c r="B58" t="str">
        <f t="shared" si="0"/>
        <v xml:space="preserve">    "W000": {_x000D_	"name": "Clear PVC",_x000D_	"alias": "Polyvinyl Chloride",_x000D_	"contributor": "Michael Kempe",_x000D_	"source": "unpublished measurements",_x000D_	"Fickian": true,_x000D_	"Ead": 33.0286897557188,_x000D_	"Do": 0.11657610009133,_x000D_	"Eas": 32.9939505587882,_x000D_	"So": 938.977273863745,_x000D_	"Eap": 66.022640314507,_x000D_	"Po": 945754346834.7_x000D_    },_x000D_</v>
      </c>
    </row>
    <row r="59" spans="2:2" x14ac:dyDescent="0.3">
      <c r="B59" t="str">
        <f t="shared" si="0"/>
        <v xml:space="preserve">    "W000": {_x000D_	"name": "Korad",_x000D_	"alias": "Acrylate Copolymer",_x000D_	"contributor": "Michael Kempe",_x000D_	"source": "unpublished measurements",_x000D_	"Fickian": true,_x000D_	"Ead": 42.4224039909835,_x000D_	"Do": 0.956288845632073,_x000D_	"Eas": 10.6522537288649,_x000D_	"So": 1.11499446980146,_x000D_	"Eap": 105.22742596998,_x000D_	"Po": 3221320046147540000_x000D_    },_x000D_</v>
      </c>
    </row>
    <row r="60" spans="2:2" x14ac:dyDescent="0.3">
      <c r="B60" t="str">
        <f t="shared" si="0"/>
        <v xml:space="preserve">    "W000": {_x000D_	"name": "Tefzel",_x000D_	"alias": "poly ethylene-co-tetrafluoroethylene",_x000D_	"contributor": "Michael Kempe",_x000D_	"source": "unpublished measurements",_x000D_	"Fickian": true,_x000D_	"Ead": 33.7546691720749,_x000D_	"Do": 0.0575761569695952,_x000D_	"Eas": 25.938348818962,_x000D_	"So": 7.27712808189267,_x000D_	"Eap": 59.693017991037,_x000D_	"Po": 3620065553.835_x000D_    },_x000D_</v>
      </c>
    </row>
    <row r="61" spans="2:2" x14ac:dyDescent="0.3">
      <c r="B61" t="str">
        <f t="shared" si="0"/>
        <v xml:space="preserve">    "W000": {_x000D_	"name": "",_x000D_	"alias": "Poly Ethylene Napthlate",_x000D_	"contributor": "Michael Kempe",_x000D_	"source": "unpublished measurements",_x000D_	"Fickian": true,_x000D_	"Ead": 51.5636742115708,_x000D_	"Do": 0.995529692337746,_x000D_	"Eas": 5.6178949378191,_x000D_	"So": 0.0812436914344898,_x000D_	"Eap": 57.1815691493899,_x000D_	"Po": 698807581.673712_x000D_    },_x000D_</v>
      </c>
    </row>
    <row r="62" spans="2:2" x14ac:dyDescent="0.3">
      <c r="B62" t="str">
        <f t="shared" si="0"/>
        <v xml:space="preserve">    "W000": {_x000D_	"name": "Mylar-D",_x000D_	"alias": "Polyethylene Terepthalate",_x000D_	"contributor": "Michael Kempe",_x000D_	"source": "unpublished measurements",_x000D_	"Fickian": true,_x000D_	"Ead": 47.3213251145397,_x000D_	"Do": 0.789003134561549,_x000D_	"Eas": 7.32378069811026,_x000D_	"So": 0.157203671680748,_x000D_	"Eap": 54.64510581265,_x000D_	"Po": 1071655399.18682_x000D_    },_x000D_</v>
      </c>
    </row>
    <row r="63" spans="2:2" x14ac:dyDescent="0.3">
      <c r="B63" t="str">
        <f t="shared" si="0"/>
        <v xml:space="preserve">    "W000": {_x000D_	"name": "ST504",_x000D_	"alias": "Polyethylene Terepthalate",_x000D_	"contributor": "Michael Kempe",_x000D_	"source": "unpublished measurements",_x000D_	"Fickian": true,_x000D_	"Ead": 49.1988088587438,_x000D_	"Do": 1.43136116146877,_x000D_	"Eas": 6.20764844309352,_x000D_	"So": 0.106698381856152,_x000D_	"Eap": 55.4064573018373,_x000D_	"Po": 1319534666.90318_x000D_    },_x000D_</v>
      </c>
    </row>
    <row r="64" spans="2:2" x14ac:dyDescent="0.3">
      <c r="B64" t="str">
        <f t="shared" si="0"/>
        <v xml:space="preserve">    "W000": {_x000D_	"name": "Lexan",_x000D_	"alias": "Polycarbonate, Bisphenol-A-polycarbonate",_x000D_	"contributor": "Michael Kempe",_x000D_	"source": "unpublished measurements",_x000D_	"Fickian": true,_x000D_	"Ead": 31.7570673066821,_x000D_	"Do": 0.0177602090081197,_x000D_	"Eas": 13.4503885886312,_x000D_	"So": 1.21057375762911,_x000D_	"Eap": 45.2074558953133,_x000D_	"Po": 185760371.133255_x000D_    },_x000D_</v>
      </c>
    </row>
    <row r="65" spans="2:2" x14ac:dyDescent="0.3">
      <c r="B65" t="str">
        <f t="shared" si="0"/>
        <v xml:space="preserve">    "W000": {_x000D_	"name": "Poly Vinyl Butral, S-LEC Sekisui, and Saflex Solutia",_x000D_	"alias": "PVB #1",_x000D_	"contributor": "Michael Kempe",_x000D_	"source": "unpublished measurements",_x000D_	"Fickian": true,_x000D_	"Ead": 46.4649618478522,_x000D_	"Do": 11.348179731181,_x000D_	"Eas": 11.0777370890654,_x000D_	"So": 2.49156416313226,_x000D_	"Eap": 57.5426989369177,_x000D_	"Po": 244293562958.356_x000D_    },_x000D_</v>
      </c>
    </row>
    <row r="66" spans="2:2" x14ac:dyDescent="0.3">
      <c r="B66" t="str">
        <f t="shared" si="0"/>
        <v xml:space="preserve">    "W000": {_x000D_	"name": "Old DNP",_x000D_	"alias": "TPO #1",_x000D_	"contributor": "Michael Kempe",_x000D_	"source": "unpublished measurements",_x000D_	"Fickian": true,_x000D_	"Ead": ,_x000D_	"Do": ,_x000D_	"Eas": ,_x000D_	"So": ,_x000D_	"Eap": 76.289572026034,_x000D_	"Po": 6823263083472.16_x000D_    },_x000D_</v>
      </c>
    </row>
    <row r="67" spans="2:2" x14ac:dyDescent="0.3">
      <c r="B67" t="str">
        <f t="shared" si="0"/>
        <v xml:space="preserve">    "W000": {_x000D_	"name": "Vectran",_x000D_	"alias": "LCP",_x000D_	"contributor": "Michael Kempe",_x000D_	"source": "unpublished measurements",_x000D_	"Fickian": true,_x000D_	"Ead": 50.403918892528,_x000D_	"Do": 0.245942251282737,_x000D_	"Eas": 5.45301564748205,_x000D_	"So": 0.0110622546832953,_x000D_	"Eap": 55.8569345400101,_x000D_	"Po": 23506639.0940679_x000D_    },_x000D_</v>
      </c>
    </row>
    <row r="68" spans="2:2" x14ac:dyDescent="0.3">
      <c r="B68" t="str">
        <f t="shared" si="0"/>
        <v xml:space="preserve">    "W000": {_x000D_	"name": "Tedlar",_x000D_	"alias": "Filled PVF",_x000D_	"contributor": "Michael Kempe",_x000D_	"source": "unpublished measurements",_x000D_	"Fickian": true,_x000D_	"Ead": 58.71570389177,_x000D_	"Do": 113.525567785916,_x000D_	"Eas": 11.7711932387872,_x000D_	"So": 0.983373347442546,_x000D_	"Eap": 70.4868971305571,_x000D_	"Po": 964552472184.541_x000D_    },_x000D_</v>
      </c>
    </row>
    <row r="69" spans="2:2" x14ac:dyDescent="0.3">
      <c r="B69" t="str">
        <f t="shared" si="0"/>
        <v xml:space="preserve">    "W000": {_x000D_	"name": "White Aclar",_x000D_	"alias": "PCTFE #1",_x000D_	"contributor": "Michael Kempe",_x000D_	"source": "unpublished measurements",_x000D_	"Fickian": true,_x000D_	"Ead": 79.5113791145642,_x000D_	"Do": 10210.1659418952,_x000D_	"Eas": 7.86738905205556,_x000D_	"So": 0.0439563961280766,_x000D_	"Eap": 84.5436362084746,_x000D_	"Po": 1492039875944.98_x000D_    },_x000D_</v>
      </c>
    </row>
    <row r="70" spans="2:2" x14ac:dyDescent="0.3">
      <c r="B70" t="str">
        <f t="shared" si="0"/>
        <v xml:space="preserve">    "W000": {_x000D_	"name": "Clear Aclar",_x000D_	"alias": "PCTFE #2",_x000D_	"contributor": "Michael Kempe",_x000D_	"source": "unpublished measurements",_x000D_	"Fickian": true,_x000D_	"Ead": 96.5385865449266,_x000D_	"Do": 4172967.14420414,_x000D_	"Eas": -12.3825598156611,_x000D_	"So": 0.000027596664527881,_x000D_	"Eap": 84.1560267292654,_x000D_	"Po": 994982178508.989_x000D_    },_x000D_</v>
      </c>
    </row>
    <row r="71" spans="2:2" x14ac:dyDescent="0.3">
      <c r="B71" t="str">
        <f t="shared" si="0"/>
        <v xml:space="preserve">    "W000": {_x000D_	"name": "Ethylene Vinyl Acetate",_x000D_	"alias": "EVA",_x000D_	"contributor": "Michael Kempe",_x000D_	"source": "unpublished measurements",_x000D_	"Fickian": true,_x000D_	"Ead": 38.139966396438,_x000D_	"Do": 2.31097881676966,_x000D_	"Eas": 16.7286220351073,_x000D_	"So": 1.81390701967487,_x000D_	"Eap": 55.1578532714609,_x000D_	"Po": 40728267519.3687_x000D_    },_x000D_</v>
      </c>
    </row>
    <row r="72" spans="2:2" x14ac:dyDescent="0.3">
      <c r="B72" t="str">
        <f t="shared" si="0"/>
        <v xml:space="preserve">    "W000": {_x000D_	"name": "DC184",_x000D_	"alias": "PDMS #2",_x000D_	"contributor": "Michael Kempe",_x000D_	"source": "unpublished measurements",_x000D_	"Fickian": true,_x000D_	"Ead": 26.8491404589422,_x000D_	"Do": 0.343040484423659,_x000D_	"Eas": 11.1779225188289,_x000D_	"So": 0.0804559994699917,_x000D_	"Eap": 38.0270629777712,_x000D_	"Po": 238461105.884911_x000D_    },_x000D_</v>
      </c>
    </row>
    <row r="73" spans="2:2" x14ac:dyDescent="0.3">
      <c r="B73" t="str">
        <f t="shared" si="0"/>
        <v xml:space="preserve">    "W000": {_x000D_	"name": "RTV615",_x000D_	"alias": "PDMS #1",_x000D_	"contributor": "Michael Kempe",_x000D_	"source": "unpublished measurements",_x000D_	"Fickian": true,_x000D_	"Ead": 20.9155783983994,_x000D_	"Do": 0.0690375841285242,_x000D_	"Eas": 21.0756724360529,_x000D_	"So": 1.76185388295796,_x000D_	"Eap": 41.7698885456015,_x000D_	"Po": 960496070.761543_x000D_    },_x000D_</v>
      </c>
    </row>
    <row r="74" spans="2:2" x14ac:dyDescent="0.3">
      <c r="B74" t="str">
        <f t="shared" si="0"/>
        <v xml:space="preserve">    "W000": {_x000D_	"name": "Viton Matte",_x000D_	"alias": "Fluorpolymer Rubber #1",_x000D_	"contributor": "Michael Kempe",_x000D_	"source": "unpublished measurements",_x000D_	"Fickian": true,_x000D_	"Ead": 71.7616886120477,_x000D_	"Do": 45455.3486405086,_x000D_	"Eas": 1.48200499250495,_x000D_	"So": 0.0209145982407652,_x000D_	"Eap": 73.2436936045527,_x000D_	"Po": 8213878264695.76_x000D_    },_x000D_</v>
      </c>
    </row>
    <row r="75" spans="2:2" x14ac:dyDescent="0.3">
      <c r="B75" t="str">
        <f t="shared" si="0"/>
        <v xml:space="preserve">    "W000": {_x000D_	"name": "Viton Gloss",_x000D_	"alias": "Fluorpolymer Rubber #2",_x000D_	"contributor": "Michael Kempe",_x000D_	"source": "unpublished measurements",_x000D_	"Fickian": true,_x000D_	"Ead": 56.2460834706032,_x000D_	"Do": 159.982701698288,_x000D_	"Eas": 20.8063496388738,_x000D_	"So": 26.9834933677011,_x000D_	"Eap": 77.052433109477,_x000D_	"Po": 37297948350723.4_x000D_    },_x000D_</v>
      </c>
    </row>
    <row r="76" spans="2:2" x14ac:dyDescent="0.3">
      <c r="B76" t="str">
        <f t="shared" si="0"/>
        <v xml:space="preserve">    "W000": {_x000D_	"name": "DNP 2777",_x000D_	"alias": "TPO #2",_x000D_	"contributor": "Michael Kempe",_x000D_	"source": "unpublished measurements",_x000D_	"Fickian": true,_x000D_	"Ead": 52.9307054899144,_x000D_	"Do": 522.890286460457,_x000D_	"Eas": 24.5569461831493,_x000D_	"So": 1.55969827001173,_x000D_	"Eap": 79.8681296790924,_x000D_	"Po": 15797483966534.5_x000D_    },_x000D_</v>
      </c>
    </row>
    <row r="77" spans="2:2" x14ac:dyDescent="0.3">
      <c r="B77" t="str">
        <f t="shared" si="0"/>
        <v xml:space="preserve">    "W000": {_x000D_	"name": "Stevens PV251 Aliphatic TPU",_x000D_	"alias": "TPU #2",_x000D_	"contributor": "Michael Kempe",_x000D_	"source": "unpublished measurements",_x000D_	"Fickian": true,_x000D_	"Ead": 50.7463326496412,_x000D_	"Do": 74.7749648984175,_x000D_	"Eas": 6.43899102763906,_x000D_	"So": 0.249811154526706,_x000D_	"Eap": 57.1853236772803,_x000D_	"Po": 161391919486.761_x000D_    },_x000D_</v>
      </c>
    </row>
    <row r="78" spans="2:2" x14ac:dyDescent="0.3">
      <c r="B78" t="str">
        <f t="shared" si="0"/>
        <v xml:space="preserve">    "W000": {_x000D_	"name": "Dupont PV5300 Ionomer",_x000D_	"alias": "Ionomer #1",_x000D_	"contributor": "Michael Kempe",_x000D_	"source": "unpublished measurements",_x000D_	"Fickian": true,_x000D_	"Ead": 55.6235810319235,_x000D_	"Do": 15.3609038875224,_x000D_	"Eas": 19.5076706534681,_x000D_	"So": 17.7889361215936,_x000D_	"Eap": 75.1312516853916,_x000D_	"Po": 2360915752536.64_x000D_    },_x000D_</v>
      </c>
    </row>
    <row r="79" spans="2:2" x14ac:dyDescent="0.3">
      <c r="B79" t="str">
        <f t="shared" si="0"/>
        <v xml:space="preserve">    "W000": {_x000D_	"name": "Dupont PV5200 Polyvinylbutral",_x000D_	"alias": "PVB #2",_x000D_	"contributor": "Michael Kempe",_x000D_	"source": "unpublished measurements",_x000D_	"Fickian": true,_x000D_	"Ead": 51.8830902457148,_x000D_	"Do": 84.5134211271644,_x000D_	"Eas": 7.95997669491685,_x000D_	"So": 0.520484700621351,_x000D_	"Eap": 59.8430669406317,_x000D_	"Po": 380055824874.932_x000D_    },_x000D_</v>
      </c>
    </row>
    <row r="80" spans="2:2" x14ac:dyDescent="0.3">
      <c r="B80" t="str">
        <f t="shared" si="0"/>
        <v xml:space="preserve">    "W000": {_x000D_	"name": "Steven PV301",_x000D_	"alias": "TPU #3",_x000D_	"contributor": "Michael Kempe",_x000D_	"source": "unpublished measurements",_x000D_	"Fickian": true,_x000D_	"Ead": 44.2414356094982,_x000D_	"Do": 4.32928261563764,_x000D_	"Eas": 9.90384118622532,_x000D_	"So": 0.931312935440451,_x000D_	"Eap": 54.1452767957236,_x000D_	"Po": 34835762025.6838_x000D_    },_x000D_</v>
      </c>
    </row>
    <row r="81" spans="2:2" x14ac:dyDescent="0.3">
      <c r="B81" t="str">
        <f t="shared" si="0"/>
        <v xml:space="preserve">    "W000": {_x000D_	"name": "DNP PV-FS CVF2B",_x000D_	"alias": "TPO-3",_x000D_	"contributor": "Michael Kempe",_x000D_	"source": "unpublished measurements",_x000D_	"Fickian": true,_x000D_	"Ead": 47.0710454631315,_x000D_	"Do": 141.699562362163,_x000D_	"Eas": 32.9594855649241,_x000D_	"So": 28.2464642413457,_x000D_	"Eap": 80.0307511425333,_x000D_	"Po": 34584496473583.9_x000D_    },_x000D_</v>
      </c>
    </row>
    <row r="82" spans="2:2" x14ac:dyDescent="0.3">
      <c r="B82" t="str">
        <f t="shared" si="0"/>
        <v xml:space="preserve">    "W000": {_x000D_	"name": "",_x000D_	"alias": "",_x000D_	"contributor": "Michael Kempe",_x000D_	"source": "unpublished measurements",_x000D_	"Fickian": true,_x000D_	"Ead": 31.0493901943036,_x000D_	"Do": 0.387375018071262,_x000D_	"Eas": 37.154683534443,_x000D_	"So": 133.267171135261,_x000D_	"Eap": 68.2040737287465,_x000D_	"Po": 446034581223.792_x000D_    },_x000D_</v>
      </c>
    </row>
    <row r="83" spans="2:2" x14ac:dyDescent="0.3">
      <c r="B83" t="str">
        <f t="shared" si="0"/>
        <v xml:space="preserve">    "W000": {_x000D_	"name": "PIB Lee Yang Wilusz",_x000D_	"alias": "PIB",_x000D_	"contributor": "Michael Kempe",_x000D_	"source": "unpublished measurements",_x000D_	"Fickian": true,_x000D_	"Ead": 66.7749676968273,_x000D_	"Do": 5,_x000D_	"Eas": ,_x000D_	"So": ,_x000D_	"Eap": ,_x000D_	"Po": _x000D_    },_x000D_</v>
      </c>
    </row>
    <row r="84" spans="2:2" x14ac:dyDescent="0.3">
      <c r="B84" t="str">
        <f t="shared" si="0"/>
        <v xml:space="preserve">    "W000": {_x000D_	"name": "PIB Helioseal matrix only",_x000D_	"alias": "PIB Matrix #1",_x000D_	"contributor": "Michael Kempe",_x000D_	"source": "unpublished measurements",_x000D_	"Fickian": true,_x000D_	"Ead": 54.8,_x000D_	"Do": 4.39,_x000D_	"Eas": 5,_x000D_	"So": 0.0321759557733088,_x000D_	"Eap": 59.8,_x000D_	"Po": 1220421132.09929_x000D_    },_x000D_</v>
      </c>
    </row>
    <row r="85" spans="2:2" x14ac:dyDescent="0.3">
      <c r="B85" t="str">
        <f t="shared" si="0"/>
        <v xml:space="preserve">    "W000": {_x000D_	"name": "PIB Quanex LPO-3 ",_x000D_	"alias": "PIB Matrix #2",_x000D_	"contributor": "Michael Kempe",_x000D_	"source": "unpublished measurements",_x000D_	"Fickian": true,_x000D_	"Ead": 55,_x000D_	"Do": 50,_x000D_	"Eas": 7.5,_x000D_	"So": 0.052,_x000D_	"Eap": 62.5,_x000D_	"Po": 22464000000_x000D_    },_x000D_</v>
      </c>
    </row>
  </sheetData>
  <mergeCells count="4">
    <mergeCell ref="A38:A39"/>
    <mergeCell ref="B38:B39"/>
    <mergeCell ref="Q38:Q39"/>
    <mergeCell ref="R38:R3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1A365-9096-49E5-8FD4-C90EAEAA317D}">
  <sheetPr codeName="Sheet8"/>
  <dimension ref="A1:J11"/>
  <sheetViews>
    <sheetView workbookViewId="0">
      <selection activeCell="D35" sqref="D35"/>
    </sheetView>
  </sheetViews>
  <sheetFormatPr defaultRowHeight="14.4" x14ac:dyDescent="0.3"/>
  <cols>
    <col min="1" max="1" width="16.21875" customWidth="1"/>
    <col min="2" max="2" width="10.21875" customWidth="1"/>
    <col min="10" max="10" width="18.77734375" customWidth="1"/>
  </cols>
  <sheetData>
    <row r="1" spans="1:10" x14ac:dyDescent="0.3">
      <c r="A1" s="67" t="s">
        <v>351</v>
      </c>
      <c r="B1" s="67" t="s">
        <v>352</v>
      </c>
      <c r="C1" s="67" t="s">
        <v>353</v>
      </c>
      <c r="D1" s="67" t="s">
        <v>354</v>
      </c>
      <c r="E1" s="67"/>
      <c r="F1" s="67" t="s">
        <v>355</v>
      </c>
      <c r="G1" s="67"/>
      <c r="H1" s="67" t="s">
        <v>356</v>
      </c>
      <c r="I1" s="67"/>
    </row>
    <row r="2" spans="1:10" x14ac:dyDescent="0.3">
      <c r="A2" s="67"/>
      <c r="B2" s="67"/>
      <c r="C2" s="67"/>
      <c r="D2" s="67"/>
      <c r="E2" s="67"/>
      <c r="F2" s="67"/>
      <c r="G2" s="67"/>
      <c r="H2" s="67"/>
      <c r="I2" s="67"/>
    </row>
    <row r="3" spans="1:10" s="1" customFormat="1" ht="27" x14ac:dyDescent="0.3">
      <c r="A3" s="67"/>
      <c r="B3" s="67"/>
      <c r="C3" s="67"/>
      <c r="D3" s="35" t="s">
        <v>85</v>
      </c>
      <c r="E3" s="36" t="s">
        <v>109</v>
      </c>
      <c r="F3" s="35" t="s">
        <v>85</v>
      </c>
      <c r="G3" s="36" t="s">
        <v>109</v>
      </c>
      <c r="H3" s="35" t="s">
        <v>85</v>
      </c>
      <c r="I3" s="36" t="s">
        <v>109</v>
      </c>
    </row>
    <row r="4" spans="1:10" ht="16.2" x14ac:dyDescent="0.3">
      <c r="A4" s="67"/>
      <c r="B4" s="67"/>
      <c r="C4" s="67"/>
      <c r="D4" s="37" t="s">
        <v>357</v>
      </c>
      <c r="E4" s="37" t="s">
        <v>358</v>
      </c>
      <c r="F4" s="37" t="s">
        <v>357</v>
      </c>
      <c r="G4" s="37" t="s">
        <v>359</v>
      </c>
      <c r="H4" s="37" t="s">
        <v>357</v>
      </c>
      <c r="I4" s="37" t="s">
        <v>360</v>
      </c>
      <c r="J4" s="38" t="s">
        <v>4</v>
      </c>
    </row>
    <row r="5" spans="1:10" x14ac:dyDescent="0.3">
      <c r="A5" s="39" t="s">
        <v>403</v>
      </c>
      <c r="B5" s="34" t="s">
        <v>444</v>
      </c>
      <c r="C5" s="34" t="s">
        <v>353</v>
      </c>
      <c r="D5" s="56">
        <f>+[2]Tedlar!B38</f>
        <v>30.483025230221454</v>
      </c>
      <c r="E5" s="56">
        <f>+[2]Tedlar!C38</f>
        <v>1.4210041301133386E-4</v>
      </c>
      <c r="F5" s="56">
        <f>+[2]Tedlar!E38</f>
        <v>-0.27226628971262712</v>
      </c>
      <c r="G5" s="57">
        <f>+[2]Tedlar!F38</f>
        <v>3.5940933500444193E-4</v>
      </c>
      <c r="H5" s="56">
        <f>+[2]Tedlar!H38</f>
        <v>30.210758940508811</v>
      </c>
      <c r="I5" s="57">
        <f>+[2]Tedlar!I38</f>
        <v>441.26393711840461</v>
      </c>
      <c r="J5" t="s">
        <v>363</v>
      </c>
    </row>
    <row r="6" spans="1:10" x14ac:dyDescent="0.3">
      <c r="A6" s="39" t="s">
        <v>392</v>
      </c>
      <c r="B6" s="34" t="s">
        <v>445</v>
      </c>
      <c r="C6" s="34" t="s">
        <v>353</v>
      </c>
      <c r="D6" s="56">
        <f>+[2]ST504!B59</f>
        <v>47.653428323622506</v>
      </c>
      <c r="E6" s="56">
        <f>+[2]ST504!C59</f>
        <v>0.56371093604645028</v>
      </c>
      <c r="F6" s="56">
        <f>+[2]ST504!E59</f>
        <v>-11.497500807479142</v>
      </c>
      <c r="G6" s="57">
        <f>+[2]ST504!F59</f>
        <v>8.2240098427554578E-7</v>
      </c>
      <c r="H6" s="56">
        <f>+[2]ST504!H59</f>
        <v>33.983993152858915</v>
      </c>
      <c r="I6" s="57">
        <f>+[2]ST504!I59</f>
        <v>1994.9517141645822</v>
      </c>
      <c r="J6" t="s">
        <v>363</v>
      </c>
    </row>
    <row r="7" spans="1:10" x14ac:dyDescent="0.3">
      <c r="A7" s="39" t="s">
        <v>410</v>
      </c>
      <c r="B7" s="34" t="s">
        <v>410</v>
      </c>
      <c r="C7" s="34" t="s">
        <v>353</v>
      </c>
      <c r="D7" s="56">
        <f>+[2]EVA!B28</f>
        <v>29.431120308060031</v>
      </c>
      <c r="E7" s="56">
        <f>+[2]EVA!C28</f>
        <v>0.12906167759557385</v>
      </c>
      <c r="F7" s="56">
        <f>+[2]EVA!E28</f>
        <v>32.313780596233869</v>
      </c>
      <c r="G7" s="57">
        <f>+[2]EVA!F28</f>
        <v>87.811427743406028</v>
      </c>
      <c r="H7" s="56">
        <f>+[2]EVA!H28</f>
        <v>61.744900904293914</v>
      </c>
      <c r="I7" s="57">
        <f>+[2]EVA!I28</f>
        <v>97917899126.053131</v>
      </c>
      <c r="J7" t="s">
        <v>363</v>
      </c>
    </row>
    <row r="8" spans="1:10" x14ac:dyDescent="0.3">
      <c r="A8" s="39" t="s">
        <v>364</v>
      </c>
      <c r="B8" s="34" t="s">
        <v>364</v>
      </c>
      <c r="C8" s="34" t="s">
        <v>353</v>
      </c>
      <c r="D8" s="56">
        <f>+[2]AAA!B38</f>
        <v>37.417785282154931</v>
      </c>
      <c r="E8" s="56">
        <f>+[2]AAA!C38</f>
        <v>24.108394360924397</v>
      </c>
      <c r="F8" s="56">
        <f>+[2]AAA!E38</f>
        <v>-0.9475664223135527</v>
      </c>
      <c r="G8" s="57">
        <f>+[2]AAA!F38</f>
        <v>7.8144509203605719E-6</v>
      </c>
      <c r="H8" s="56">
        <f>+[2]AAA!H38</f>
        <v>36.470218859841367</v>
      </c>
      <c r="I8" s="57">
        <f>+[2]AAA!I38</f>
        <v>1627722.9892984994</v>
      </c>
      <c r="J8" t="s">
        <v>363</v>
      </c>
    </row>
    <row r="9" spans="1:10" x14ac:dyDescent="0.3">
      <c r="A9" s="39" t="s">
        <v>446</v>
      </c>
      <c r="B9" s="34" t="s">
        <v>447</v>
      </c>
      <c r="C9" s="34" t="s">
        <v>353</v>
      </c>
      <c r="D9" s="40">
        <f>+'[2]Helioseal 101'!B35</f>
        <v>34.820138426303089</v>
      </c>
      <c r="E9" s="40">
        <f>+'[2]Helioseal 101'!C35</f>
        <v>6.368869681728169E-2</v>
      </c>
      <c r="F9" s="40">
        <f>+'[2]Helioseal 101'!E35</f>
        <v>-3.9953544345901313</v>
      </c>
      <c r="G9" s="41">
        <f>+'[2]Helioseal 101'!F35</f>
        <v>2.6198277753342291E-5</v>
      </c>
      <c r="H9" s="40">
        <f>+'[2]Helioseal 101'!H35</f>
        <v>30.824783991712998</v>
      </c>
      <c r="I9" s="41">
        <f>+'[2]Helioseal 101'!I35</f>
        <v>14416.135219879852</v>
      </c>
      <c r="J9" t="s">
        <v>448</v>
      </c>
    </row>
    <row r="10" spans="1:10" x14ac:dyDescent="0.3">
      <c r="A10" s="39" t="s">
        <v>449</v>
      </c>
      <c r="B10" s="34" t="s">
        <v>450</v>
      </c>
      <c r="C10" s="34" t="s">
        <v>353</v>
      </c>
      <c r="D10" s="40">
        <f>+'[2]Helioseal 101 Wet'!B34</f>
        <v>50.756029715286537</v>
      </c>
      <c r="E10" s="40">
        <f>+'[2]Helioseal 101 Wet'!C34</f>
        <v>37.242476087828379</v>
      </c>
      <c r="F10" s="40">
        <f>+'[2]Helioseal 101 Wet'!E34</f>
        <v>2.7344603605435021</v>
      </c>
      <c r="G10" s="41">
        <f>+'[2]Helioseal 101 Wet'!F34</f>
        <v>1.9019624010771955E-4</v>
      </c>
      <c r="H10" s="40">
        <f>+'[2]Helioseal 101 Wet'!H34</f>
        <v>53.490490075830053</v>
      </c>
      <c r="I10" s="41">
        <f>+'[2]Helioseal 101 Wet'!I34</f>
        <v>61200393.905145295</v>
      </c>
      <c r="J10" t="s">
        <v>448</v>
      </c>
    </row>
    <row r="11" spans="1:10" x14ac:dyDescent="0.3">
      <c r="A11" s="39" t="s">
        <v>451</v>
      </c>
      <c r="B11" s="34" t="s">
        <v>452</v>
      </c>
      <c r="C11" s="34" t="s">
        <v>353</v>
      </c>
      <c r="D11" s="40">
        <f>+[2]LPO3!B35</f>
        <v>37.511316263941012</v>
      </c>
      <c r="E11" s="40">
        <f>+[2]LPO3!C35</f>
        <v>0.11962051875829283</v>
      </c>
      <c r="F11" s="40">
        <f>+[2]LPO3!E35</f>
        <v>-9.4287236154485061</v>
      </c>
      <c r="G11" s="41">
        <f>+[2]LPO3!F35</f>
        <v>8.0651174575005325E-7</v>
      </c>
      <c r="H11" s="40">
        <f>+[2]LPO3!H35</f>
        <v>28.082592648492501</v>
      </c>
      <c r="I11" s="40">
        <f>+[2]LPO3!I35</f>
        <v>833.54705347343622</v>
      </c>
      <c r="J11" t="s">
        <v>448</v>
      </c>
    </row>
  </sheetData>
  <mergeCells count="6">
    <mergeCell ref="H1:I2"/>
    <mergeCell ref="A1:A4"/>
    <mergeCell ref="B1:B4"/>
    <mergeCell ref="C1:C4"/>
    <mergeCell ref="D1:E2"/>
    <mergeCell ref="F1:G2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5965d95-ecc0-4720-b759-1f33c42ed7da}" enabled="1" method="Standard" siteId="{a0f29d7e-28cd-4f54-8442-7885aee7c080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Degradation Data</vt:lpstr>
      <vt:lpstr>Stressor Parameters</vt:lpstr>
      <vt:lpstr>Modeling Constants</vt:lpstr>
      <vt:lpstr>Function list</vt:lpstr>
      <vt:lpstr>Universal Constants</vt:lpstr>
      <vt:lpstr>Other Information</vt:lpstr>
      <vt:lpstr>Water</vt:lpstr>
      <vt:lpstr>Oxygen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Kempe, Michael</dc:creator>
  <cp:lastModifiedBy>Kempe, Michael</cp:lastModifiedBy>
  <dcterms:created xsi:type="dcterms:W3CDTF">2023-02-21T18:10:54Z</dcterms:created>
  <dcterms:modified xsi:type="dcterms:W3CDTF">2025-06-25T18:00:22Z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5965d95-ecc0-4720-b759-1f33c42ed7da_Enabled">
    <vt:lpwstr>true</vt:lpwstr>
  </property>
  <property fmtid="{D5CDD505-2E9C-101B-9397-08002B2CF9AE}" pid="3" name="MSIP_Label_95965d95-ecc0-4720-b759-1f33c42ed7da_SetDate">
    <vt:lpwstr>2024-09-06T23:55:02Z</vt:lpwstr>
  </property>
  <property fmtid="{D5CDD505-2E9C-101B-9397-08002B2CF9AE}" pid="4" name="MSIP_Label_95965d95-ecc0-4720-b759-1f33c42ed7da_Method">
    <vt:lpwstr>Standard</vt:lpwstr>
  </property>
  <property fmtid="{D5CDD505-2E9C-101B-9397-08002B2CF9AE}" pid="5" name="MSIP_Label_95965d95-ecc0-4720-b759-1f33c42ed7da_Name">
    <vt:lpwstr>General</vt:lpwstr>
  </property>
  <property fmtid="{D5CDD505-2E9C-101B-9397-08002B2CF9AE}" pid="6" name="MSIP_Label_95965d95-ecc0-4720-b759-1f33c42ed7da_SiteId">
    <vt:lpwstr>a0f29d7e-28cd-4f54-8442-7885aee7c080</vt:lpwstr>
  </property>
  <property fmtid="{D5CDD505-2E9C-101B-9397-08002B2CF9AE}" pid="7" name="MSIP_Label_95965d95-ecc0-4720-b759-1f33c42ed7da_ActionId">
    <vt:lpwstr>c5d3e167-be2b-43e9-a3ea-706892ebdef7</vt:lpwstr>
  </property>
  <property fmtid="{D5CDD505-2E9C-101B-9397-08002B2CF9AE}" pid="8" name="MSIP_Label_95965d95-ecc0-4720-b759-1f33c42ed7da_ContentBits">
    <vt:lpwstr>0</vt:lpwstr>
  </property>
</Properties>
</file>